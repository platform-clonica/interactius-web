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54a589ff1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64e3fde0b4e4299"/>
    <x:sheet xmlns:r="http://schemas.openxmlformats.org/officeDocument/2006/relationships" name="Resumen" sheetId="2" r:id="Ra1a12dddec694bf9"/>
    <x:sheet xmlns:r="http://schemas.openxmlformats.org/officeDocument/2006/relationships" name="Crawl_actual" sheetId="3" r:id="R6417395e40524afd"/>
    <x:sheet xmlns:r="http://schemas.openxmlformats.org/officeDocument/2006/relationships" name="Plan_redirecciones" sheetId="4" r:id="R5445b82cb7d9454f"/>
    <x:sheet xmlns:r="http://schemas.openxmlformats.org/officeDocument/2006/relationships" name="Redirecciones_detectadas" sheetId="5" r:id="R01246995bac84585"/>
    <x:sheet xmlns:r="http://schemas.openxmlformats.org/officeDocument/2006/relationships" name="QA_SEO" sheetId="6" r:id="Rb9e70b40c7084351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Inventario base de URLs públicas detectadas durante la captura.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D1" authorId="0">
      <x:text>
        <x:r>
          <x:t>Columna de entrada manual: pega aquí la URL final de la nueva web para preparar el redirect.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D1" authorId="0">
      <x:text>
        <x:r>
          <x:t>HTTP no verificado técnicamente en este archivo; confirmar con crawl técnico o servidor.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7">
    <x:font>
      <x:sz val="11"/>
      <x:color theme="1"/>
      <x:name val="Calibri"/>
      <x:family val="2"/>
      <x:scheme val="minor"/>
    </x:font>
    <x:font>
      <x:b/>
      <x:color rgb="00FFFFFF"/>
    </x:font>
    <x:font>
      <x:b/>
      <x:color rgb="00666666"/>
    </x:font>
    <x:font>
      <x:color rgb="00666666"/>
    </x:font>
    <x:font>
      <x:b/>
      <x:color rgb="00000000"/>
    </x:font>
    <x:font>
      <x:u val="single"/>
      <x:color rgb="00008000"/>
    </x:font>
    <x:font>
      <x:color rgb="000000FF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7E6E6"/>
      </x:patternFill>
    </x:fill>
    <x:fill>
      <x:patternFill patternType="solid">
        <x:fgColor rgb="00DDEBF7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CE4D6"/>
      </x:patternFill>
    </x:fill>
    <x:fill>
      <x:patternFill patternType="solid">
        <x:fgColor rgb="00FDE9E7"/>
      </x:patternFill>
    </x:fill>
  </x:fills>
  <x:borders count="2">
    <x:border>
      <x:left/>
      <x:right/>
      <x:top/>
      <x:bottom/>
      <x:diagonal/>
    </x:border>
    <x:border>
      <x:bottom style="thin">
        <x:color rgb="00D0D0D0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2" fillId="3" borderId="1" xfId="0"/>
    <x:xf numFmtId="0" fontId="1" fillId="2" borderId="1" xfId="0" applyAlignment="1">
      <x:alignment vertical="top" wrapText="1"/>
    </x:xf>
    <x:xf numFmtId="164" fontId="0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3" fillId="3" borderId="1" xfId="0" applyAlignment="1">
      <x:alignment vertical="top" wrapText="1"/>
    </x:xf>
    <x:xf numFmtId="0" fontId="4" fillId="4" borderId="1" xfId="0" applyAlignment="1">
      <x:alignment vertical="top" wrapText="1"/>
    </x:xf>
    <x:xf numFmtId="0" fontId="5" fillId="5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6" fillId="6" borderId="1" xfId="0" applyAlignment="1">
      <x:alignment vertical="top" wrapText="1"/>
    </x:xf>
    <x:xf numFmtId="0" fontId="5" fillId="7" borderId="1" xfId="0" applyAlignment="1">
      <x:alignment vertical="top" wrapText="1"/>
    </x:xf>
    <x:xf numFmtId="0" fontId="0" fillId="7" borderId="1" xfId="0" applyAlignment="1">
      <x:alignment vertical="top" wrapText="1"/>
    </x:xf>
    <x:xf numFmtId="0" fontId="0" fillId="8" borderId="1" xfId="0" applyAlignment="1">
      <x:alignment vertical="top" wrapText="1"/>
    </x:xf>
    <x:xf numFmtId="0" fontId="5" fillId="8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5" fillId="3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966df1ce146ea" /><Relationship Type="http://schemas.openxmlformats.org/officeDocument/2006/relationships/theme" Target="/xl/theme/theme1.xml" Id="Ra288e68a925d45b5" /><Relationship Type="http://schemas.openxmlformats.org/officeDocument/2006/relationships/sharedStrings" Target="/xl/sharedStrings.xml" Id="R760d8017444b4f99" /><Relationship Type="http://schemas.openxmlformats.org/officeDocument/2006/relationships/worksheet" Target="/xl/worksheets/sheet1.xml" Id="Rf64e3fde0b4e4299" /><Relationship Type="http://schemas.openxmlformats.org/officeDocument/2006/relationships/worksheet" Target="/xl/worksheets/sheet2.xml" Id="Ra1a12dddec694bf9" /><Relationship Type="http://schemas.openxmlformats.org/officeDocument/2006/relationships/worksheet" Target="/xl/worksheets/sheet3.xml" Id="R6417395e40524afd" /><Relationship Type="http://schemas.openxmlformats.org/officeDocument/2006/relationships/worksheet" Target="/xl/worksheets/sheet4.xml" Id="R5445b82cb7d9454f" /><Relationship Type="http://schemas.openxmlformats.org/officeDocument/2006/relationships/worksheet" Target="/xl/worksheets/sheet5.xml" Id="R01246995bac84585" /><Relationship Type="http://schemas.openxmlformats.org/officeDocument/2006/relationships/worksheet" Target="/xl/worksheets/sheet6.xml" Id="Rb9e70b40c7084351" /><Relationship Type="http://schemas.microsoft.com/office/2017/10/relationships/person" Target="/xl/persons/person.xml" Id="R45127504bd4142b8" /></Relationships>
</file>

<file path=xl/persons/person.xml><?xml version="1.0" encoding="utf-8"?>
<xltc:personList xmlns:xltc="http://schemas.microsoft.com/office/spreadsheetml/2018/threadedcomments">
  <xltc:person displayName="OpenAI" id="{BC6AB4E6-1CA1-C442-B8BD-FFC77391F7BF}"/>
  <xltc:person displayName="OpenAI" id="{E703F1E7-64D3-4391-6DE3-530DA10F042F}"/>
  <xltc:person displayName="OpenAI" id="{2F1A6B61-49DF-4F7B-33EE-BDBC899FF8E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2cf60c5ef8684da0" /><Relationship Type="http://schemas.openxmlformats.org/officeDocument/2006/relationships/vmlDrawing" Target="/xl/drawings/vmldrawing.vml" Id="Re525ee1ae8444a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95174fab189346c7" /><Relationship Type="http://schemas.openxmlformats.org/officeDocument/2006/relationships/vmlDrawing" Target="/xl/drawings/vmldrawing2.vml" Id="Rd208759d009e4b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fbde0087ad3a4dfb" /><Relationship Type="http://schemas.openxmlformats.org/officeDocument/2006/relationships/vmlDrawing" Target="/xl/drawings/vmldrawing3.vml" Id="R5d608a2bc2074f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20" customWidth="1"/>
  </x:cols>
  <x:sheetData>
    <x:row r="1" ht="28" customHeight="1">
      <x:c r="A1" s="1" t="inlineStr">
        <x:is>
          <x:t xml:space="preserve">Archivo</x:t>
        </x:is>
      </x:c>
      <x:c r="B1" s="2" t="inlineStr">
        <x:is>
          <x:t xml:space="preserve">Inventario SEO + plantilla de redirecciones para la web actual de Interactius</x:t>
        </x:is>
      </x:c>
    </x:row>
    <x:row r="2" ht="28" customHeight="1">
      <x:c r="A2" s="1" t="inlineStr">
        <x:is>
          <x:t xml:space="preserve">Fecha de captura</x:t>
        </x:is>
      </x:c>
      <x:c r="B2" s="3" t="n">
        <x:v>46128</x:v>
      </x:c>
    </x:row>
    <x:row r="3" ht="28" customHeight="1">
      <x:c r="A3" s="1" t="inlineStr">
        <x:is>
          <x:t xml:space="preserve">Alcance</x:t>
        </x:is>
      </x:c>
      <x:c r="B3" s="4" t="inlineStr">
        <x:is>
          <x:t xml:space="preserve">URLs públicas detectadas desde homepage, navegación, servicios, casos de estudio, blog y algunas landings públicas.</x:t>
        </x:is>
      </x:c>
    </x:row>
    <x:row r="4" ht="28" customHeight="1">
      <x:c r="A4" s="1" t="inlineStr">
        <x:is>
          <x:t xml:space="preserve">Qué incluye</x:t>
        </x:is>
      </x:c>
      <x:c r="B4" s="4" t="inlineStr">
        <x:is>
          <x:t xml:space="preserve">1) Crawl base de URLs actuales. 2) Hoja para planificar redirects de la nueva web. 3) Redirects legacy observados. 4) Hallazgos QA SEO.</x:t>
        </x:is>
      </x:c>
    </x:row>
    <x:row r="5" ht="28" customHeight="1">
      <x:c r="A5" s="1" t="inlineStr">
        <x:is>
          <x:t xml:space="preserve">Qué no incluye</x:t>
        </x:is>
      </x:c>
      <x:c r="B5" s="4" t="inlineStr">
        <x:is>
          <x:t xml:space="preserve">No es un crawl exhaustivo de sitemap ni un validador HTTP 301/302 completo. Los redirects están observados por navegación pública y quedan marcados como 'Pendiente' para confirmación técnica.</x:t>
        </x:is>
      </x:c>
    </x:row>
    <x:row r="6" ht="28" customHeight="1">
      <x:c r="A6" s="1" t="inlineStr">
        <x:is>
          <x:t xml:space="preserve">Cómo usarlo</x:t>
        </x:is>
      </x:c>
      <x:c r="B6" s="4" t="inlineStr">
        <x:is>
          <x:t xml:space="preserve">Completa la hoja 'Plan_redirecciones' con la URL destino de la nueva web y el tipo de redirect (idealmente 301).</x:t>
        </x:is>
      </x:c>
    </x:row>
    <x:row r="7" ht="28" customHeight="1">
      <x:c r="A7" s="1" t="inlineStr">
        <x:is>
          <x:t xml:space="preserve">Fuentes</x:t>
        </x:is>
      </x:c>
      <x:c r="B7" s="4" t="inlineStr">
        <x:is>
          <x:t xml:space="preserve">URLs públicas de interactius.com descubiertas entre homepage, páginas internas y resultados públicos indexados.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6" customWidth="1"/>
  </x:cols>
  <x:sheetData>
    <x:row r="1">
      <x:c r="A1" s="2" t="inlineStr">
        <x:is>
          <x:t xml:space="preserve">Métrica</x:t>
        </x:is>
      </x:c>
      <x:c r="B1" s="2" t="inlineStr">
        <x:is>
          <x:t xml:space="preserve">Valor</x:t>
        </x:is>
      </x:c>
    </x:row>
    <x:row r="2">
      <x:c r="A2" s="5" t="inlineStr">
        <x:is>
          <x:t xml:space="preserve">URLs actuales inventariadas</x:t>
        </x:is>
      </x:c>
      <x:c r="B2" s="6">
        <x:f>COUNTA(Crawl_actual!A2:A500)</x:f>
        <x:v>45</x:v>
      </x:c>
    </x:row>
    <x:row r="3">
      <x:c r="A3" s="5" t="inlineStr">
        <x:is>
          <x:t xml:space="preserve">Redirects legacy observados</x:t>
        </x:is>
      </x:c>
      <x:c r="B3" s="6">
        <x:f>COUNTA(Redirecciones_detectadas!A2:A500)</x:f>
        <x:v>10</x:v>
      </x:c>
    </x:row>
    <x:row r="4">
      <x:c r="A4" s="5" t="inlineStr">
        <x:is>
          <x:t xml:space="preserve">Issues QA SEO</x:t>
        </x:is>
      </x:c>
      <x:c r="B4" s="6">
        <x:f>COUNTA(QA_SEO!A2:A500)</x:f>
        <x:v>7</x:v>
      </x:c>
    </x:row>
    <x:row r="5">
      <x:c r="A5" s="5" t="inlineStr">
        <x:is>
          <x:t xml:space="preserve">Servicios</x:t>
        </x:is>
      </x:c>
      <x:c r="B5" s="6">
        <x:f>COUNTIF(Crawl_actual!C:C,"Servicio")</x:f>
        <x:v>14</x:v>
      </x:c>
    </x:row>
    <x:row r="6">
      <x:c r="A6" s="5" t="inlineStr">
        <x:is>
          <x:t xml:space="preserve">Casos de estudio</x:t>
        </x:is>
      </x:c>
      <x:c r="B6" s="6">
        <x:f>COUNTIF(Crawl_actual!C:C,"Caso de estudio")</x:f>
        <x:v>6</x:v>
      </x:c>
    </x:row>
    <x:row r="7">
      <x:c r="A7" s="5" t="inlineStr">
        <x:is>
          <x:t xml:space="preserve">Posts de blog</x:t>
        </x:is>
      </x:c>
      <x:c r="B7" s="6">
        <x:f>COUNTIF(Crawl_actual!C:C,"Blog")</x:f>
        <x:v>10</x:v>
      </x:c>
    </x:row>
    <x:row r="8">
      <x:c r="A8" s="5" t="inlineStr">
        <x:is>
          <x:t xml:space="preserve">Landings</x:t>
        </x:is>
      </x:c>
      <x:c r="B8" s="6">
        <x:f>COUNTIF(Crawl_actual!C:C,"Landing")</x:f>
        <x:v>6</x:v>
      </x:c>
    </x:row>
    <x:row r="9">
      <x:c r="A9" s="5" t="inlineStr">
        <x:is>
          <x:t xml:space="preserve">Páginas principales</x:t>
        </x:is>
      </x:c>
      <x:c r="B9" s="6">
        <x:f>COUNTIF(Crawl_actual!C:C,"Página")</x:f>
        <x:v>6</x:v>
      </x:c>
    </x:row>
    <x:row r="10">
      <x:c r="A10" s="5" t="inlineStr">
        <x:is>
          <x:t xml:space="preserve">URLs legales</x:t>
        </x:is>
      </x:c>
      <x:c r="B10" s="6">
        <x:f>COUNTIF(Crawl_actual!C:C,"Legal")</x:f>
        <x:v>1</x:v>
      </x:c>
    </x:row>
    <x:row r="11">
      <x:c r="A11" s="5" t="inlineStr">
        <x:is>
          <x:t xml:space="preserve">Talento</x:t>
        </x:is>
      </x:c>
      <x:c r="B11" s="6">
        <x:f>COUNTIF(Crawl_actual!C:C,"Talento")</x:f>
        <x:v>1</x:v>
      </x:c>
    </x:row>
    <x:row r="12">
      <x:c r="A12" s="5" t="inlineStr">
        <x:is>
          <x:t xml:space="preserve">Issues alta prioridad</x:t>
        </x:is>
      </x:c>
      <x:c r="B12" s="6">
        <x:f>COUNTIF(QA_SEO!A:A,"Alta")</x:f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5" customWidth="1"/>
    <x:col min="2" max="2" width="42" customWidth="1"/>
    <x:col min="3" max="3" width="18" customWidth="1"/>
    <x:col min="4" max="4" width="20" customWidth="1"/>
    <x:col min="5" max="5" width="20" customWidth="1"/>
    <x:col min="6" max="6" width="35" customWidth="1"/>
  </x:cols>
  <x:sheetData>
    <x:row r="1">
      <x:c r="A1" s="2" t="inlineStr">
        <x:is>
          <x:t xml:space="preserve">URL actual</x:t>
        </x:is>
      </x:c>
      <x:c r="B1" s="2" t="inlineStr">
        <x:is>
          <x:t xml:space="preserve">Título / H1</x:t>
        </x:is>
      </x:c>
      <x:c r="C1" s="2" t="inlineStr">
        <x:is>
          <x:t xml:space="preserve">Tipo</x:t>
        </x:is>
      </x:c>
      <x:c r="D1" s="2" t="inlineStr">
        <x:is>
          <x:t xml:space="preserve">Sección</x:t>
        </x:is>
      </x:c>
      <x:c r="E1" s="2" t="inlineStr">
        <x:is>
          <x:t xml:space="preserve">Descubierta desde</x:t>
        </x:is>
      </x:c>
      <x:c r="F1" s="2" t="inlineStr">
        <x:is>
          <x:t xml:space="preserve">Fuente pública</x:t>
        </x:is>
      </x:c>
    </x:row>
    <x:row r="2">
      <x:c r="A2" s="7" t="inlineStr">
        <x:is>
          <x:t xml:space="preserve">https://interactius.com/</x:t>
        </x:is>
      </x:c>
      <x:c r="B2" s="8" t="inlineStr">
        <x:is>
          <x:t xml:space="preserve">Agencia de Diseño Estratégico y Experiencia de Usuario</x:t>
        </x:is>
      </x:c>
      <x:c r="C2" s="8" t="inlineStr">
        <x:is>
          <x:t xml:space="preserve">Home</x:t>
        </x:is>
      </x:c>
      <x:c r="D2" s="8" t="inlineStr">
        <x:is>
          <x:t xml:space="preserve">Principal</x:t>
        </x:is>
      </x:c>
      <x:c r="E2" s="8" t="inlineStr">
        <x:is>
          <x:t xml:space="preserve">Homepage</x:t>
        </x:is>
      </x:c>
      <x:c r="F2" s="7" t="inlineStr">
        <x:is>
          <x:t xml:space="preserve">https://interactius.com/</x:t>
        </x:is>
      </x:c>
    </x:row>
    <x:row r="3">
      <x:c r="A3" s="7" t="inlineStr">
        <x:is>
          <x:t xml:space="preserve">https://interactius.com/servicios/</x:t>
        </x:is>
      </x:c>
      <x:c r="B3" s="8" t="inlineStr">
        <x:is>
          <x:t xml:space="preserve">Nuestros servicios son soluciones</x:t>
        </x:is>
      </x:c>
      <x:c r="C3" s="8" t="inlineStr">
        <x:is>
          <x:t xml:space="preserve">Página</x:t>
        </x:is>
      </x:c>
      <x:c r="D3" s="8" t="inlineStr">
        <x:is>
          <x:t xml:space="preserve">Servicios</x:t>
        </x:is>
      </x:c>
      <x:c r="E3" s="8" t="inlineStr">
        <x:is>
          <x:t xml:space="preserve">Homepage</x:t>
        </x:is>
      </x:c>
      <x:c r="F3" s="7" t="inlineStr">
        <x:is>
          <x:t xml:space="preserve">https://interactius.com/</x:t>
        </x:is>
      </x:c>
    </x:row>
    <x:row r="4">
      <x:c r="A4" s="7" t="inlineStr">
        <x:is>
          <x:t xml:space="preserve">https://interactius.com/casos-de-estudio/</x:t>
        </x:is>
      </x:c>
      <x:c r="B4" s="8" t="inlineStr">
        <x:is>
          <x:t xml:space="preserve">Casos de estudio</x:t>
        </x:is>
      </x:c>
      <x:c r="C4" s="8" t="inlineStr">
        <x:is>
          <x:t xml:space="preserve">Página</x:t>
        </x:is>
      </x:c>
      <x:c r="D4" s="8" t="inlineStr">
        <x:is>
          <x:t xml:space="preserve">Casos de estudio</x:t>
        </x:is>
      </x:c>
      <x:c r="E4" s="8" t="inlineStr">
        <x:is>
          <x:t xml:space="preserve">Homepage</x:t>
        </x:is>
      </x:c>
      <x:c r="F4" s="7" t="inlineStr">
        <x:is>
          <x:t xml:space="preserve">https://interactius.com/</x:t>
        </x:is>
      </x:c>
    </x:row>
    <x:row r="5">
      <x:c r="A5" s="7" t="inlineStr">
        <x:is>
          <x:t xml:space="preserve">https://interactius.com/identidad/</x:t>
        </x:is>
      </x:c>
      <x:c r="B5" s="8" t="inlineStr">
        <x:is>
          <x:t xml:space="preserve">¿Quiénes somos? Somos una Rock Band</x:t>
        </x:is>
      </x:c>
      <x:c r="C5" s="8" t="inlineStr">
        <x:is>
          <x:t xml:space="preserve">Página</x:t>
        </x:is>
      </x:c>
      <x:c r="D5" s="8" t="inlineStr">
        <x:is>
          <x:t xml:space="preserve">Marca</x:t>
        </x:is>
      </x:c>
      <x:c r="E5" s="8" t="inlineStr">
        <x:is>
          <x:t xml:space="preserve">Homepage</x:t>
        </x:is>
      </x:c>
      <x:c r="F5" s="7" t="inlineStr">
        <x:is>
          <x:t xml:space="preserve">https://interactius.com/</x:t>
        </x:is>
      </x:c>
    </x:row>
    <x:row r="6">
      <x:c r="A6" s="7" t="inlineStr">
        <x:is>
          <x:t xml:space="preserve">https://interactius.com/metodo/</x:t>
        </x:is>
      </x:c>
      <x:c r="B6" s="8" t="inlineStr">
        <x:is>
          <x:t xml:space="preserve">Conoce nuestra metodología de trabajo UX</x:t>
        </x:is>
      </x:c>
      <x:c r="C6" s="8" t="inlineStr">
        <x:is>
          <x:t xml:space="preserve">Página</x:t>
        </x:is>
      </x:c>
      <x:c r="D6" s="8" t="inlineStr">
        <x:is>
          <x:t xml:space="preserve">Método</x:t>
        </x:is>
      </x:c>
      <x:c r="E6" s="8" t="inlineStr">
        <x:is>
          <x:t xml:space="preserve">Homepage</x:t>
        </x:is>
      </x:c>
      <x:c r="F6" s="7" t="inlineStr">
        <x:is>
          <x:t xml:space="preserve">https://interactius.com/</x:t>
        </x:is>
      </x:c>
    </x:row>
    <x:row r="7">
      <x:c r="A7" s="7" t="inlineStr">
        <x:is>
          <x:t xml:space="preserve">https://interactius.com/equipo-ux/</x:t>
        </x:is>
      </x:c>
      <x:c r="B7" s="8" t="inlineStr">
        <x:is>
          <x:t xml:space="preserve">Únete a nuestro equipo experto en UX</x:t>
        </x:is>
      </x:c>
      <x:c r="C7" s="8" t="inlineStr">
        <x:is>
          <x:t xml:space="preserve">Página</x:t>
        </x:is>
      </x:c>
      <x:c r="D7" s="8" t="inlineStr">
        <x:is>
          <x:t xml:space="preserve">Talento</x:t>
        </x:is>
      </x:c>
      <x:c r="E7" s="8" t="inlineStr">
        <x:is>
          <x:t xml:space="preserve">Homepage</x:t>
        </x:is>
      </x:c>
      <x:c r="F7" s="7" t="inlineStr">
        <x:is>
          <x:t xml:space="preserve">https://interactius.com/</x:t>
        </x:is>
      </x:c>
    </x:row>
    <x:row r="8">
      <x:c r="A8" s="7" t="inlineStr">
        <x:is>
          <x:t xml:space="preserve">https://interactius.com/blog/</x:t>
        </x:is>
      </x:c>
      <x:c r="B8" s="8" t="inlineStr">
        <x:is>
          <x:t xml:space="preserve">El blog de Interactius</x:t>
        </x:is>
      </x:c>
      <x:c r="C8" s="8" t="inlineStr">
        <x:is>
          <x:t xml:space="preserve">Página</x:t>
        </x:is>
      </x:c>
      <x:c r="D8" s="8" t="inlineStr">
        <x:is>
          <x:t xml:space="preserve">Blog</x:t>
        </x:is>
      </x:c>
      <x:c r="E8" s="8" t="inlineStr">
        <x:is>
          <x:t xml:space="preserve">Homepage</x:t>
        </x:is>
      </x:c>
      <x:c r="F8" s="7" t="inlineStr">
        <x:is>
          <x:t xml:space="preserve">https://interactius.com/</x:t>
        </x:is>
      </x:c>
    </x:row>
    <x:row r="9">
      <x:c r="A9" s="7" t="inlineStr">
        <x:is>
          <x:t xml:space="preserve">https://interactius.com/stmdl/</x:t>
        </x:is>
      </x:c>
      <x:c r="B9" s="8" t="inlineStr">
        <x:is>
          <x:t xml:space="preserve">#SiTuMeDicesLearn</x:t>
        </x:is>
      </x:c>
      <x:c r="C9" s="8" t="inlineStr">
        <x:is>
          <x:t xml:space="preserve">Landing</x:t>
        </x:is>
      </x:c>
      <x:c r="D9" s="8" t="inlineStr">
        <x:is>
          <x:t xml:space="preserve">Eventos</x:t>
        </x:is>
      </x:c>
      <x:c r="E9" s="8" t="inlineStr">
        <x:is>
          <x:t xml:space="preserve">Homepage</x:t>
        </x:is>
      </x:c>
      <x:c r="F9" s="7" t="inlineStr">
        <x:is>
          <x:t xml:space="preserve">https://interactius.com/</x:t>
        </x:is>
      </x:c>
    </x:row>
    <x:row r="10">
      <x:c r="A10" s="7" t="inlineStr">
        <x:is>
          <x:t xml:space="preserve">https://interactius.com/testers-interactius/</x:t>
        </x:is>
      </x:c>
      <x:c r="B10" s="8" t="inlineStr">
        <x:is>
          <x:t xml:space="preserve">¿Quieres ser tester?</x:t>
        </x:is>
      </x:c>
      <x:c r="C10" s="8" t="inlineStr">
        <x:is>
          <x:t xml:space="preserve">Landing</x:t>
        </x:is>
      </x:c>
      <x:c r="D10" s="8" t="inlineStr">
        <x:is>
          <x:t xml:space="preserve">Comunidad</x:t>
        </x:is>
      </x:c>
      <x:c r="E10" s="8" t="inlineStr">
        <x:is>
          <x:t xml:space="preserve">Homepage</x:t>
        </x:is>
      </x:c>
      <x:c r="F10" s="7" t="inlineStr">
        <x:is>
          <x:t xml:space="preserve">https://interactius.com/</x:t>
        </x:is>
      </x:c>
    </x:row>
    <x:row r="11">
      <x:c r="A11" s="7" t="inlineStr">
        <x:is>
          <x:t xml:space="preserve">https://interactius.com/designtapas/</x:t>
        </x:is>
      </x:c>
      <x:c r="B11" s="8" t="inlineStr">
        <x:is>
          <x:t xml:space="preserve">DesignTapas, la newsletter sobre UX</x:t>
        </x:is>
      </x:c>
      <x:c r="C11" s="8" t="inlineStr">
        <x:is>
          <x:t xml:space="preserve">Landing</x:t>
        </x:is>
      </x:c>
      <x:c r="D11" s="8" t="inlineStr">
        <x:is>
          <x:t xml:space="preserve">Newsletter</x:t>
        </x:is>
      </x:c>
      <x:c r="E11" s="8" t="inlineStr">
        <x:is>
          <x:t xml:space="preserve">Homepage</x:t>
        </x:is>
      </x:c>
      <x:c r="F11" s="7" t="inlineStr">
        <x:is>
          <x:t xml:space="preserve">https://interactius.com/</x:t>
        </x:is>
      </x:c>
    </x:row>
    <x:row r="12">
      <x:c r="A12" s="7" t="inlineStr">
        <x:is>
          <x:t xml:space="preserve">https://interactius.com/servicios/diseno-de-estrategia-ux/</x:t>
        </x:is>
      </x:c>
      <x:c r="B12" s="8" t="inlineStr">
        <x:is>
          <x:t xml:space="preserve">Diseño de estrategia UX</x:t>
        </x:is>
      </x:c>
      <x:c r="C12" s="8" t="inlineStr">
        <x:is>
          <x:t xml:space="preserve">Servicio</x:t>
        </x:is>
      </x:c>
      <x:c r="D12" s="8" t="inlineStr">
        <x:is>
          <x:t xml:space="preserve">Servicios</x:t>
        </x:is>
      </x:c>
      <x:c r="E12" s="8" t="inlineStr">
        <x:is>
          <x:t xml:space="preserve">Servicios</x:t>
        </x:is>
      </x:c>
      <x:c r="F12" s="7" t="inlineStr">
        <x:is>
          <x:t xml:space="preserve">https://interactius.com/servicios/</x:t>
        </x:is>
      </x:c>
    </x:row>
    <x:row r="13">
      <x:c r="A13" s="7" t="inlineStr">
        <x:is>
          <x:t xml:space="preserve">https://interactius.com/servicios/user-research/</x:t>
        </x:is>
      </x:c>
      <x:c r="B13" s="8" t="inlineStr">
        <x:is>
          <x:t xml:space="preserve">User research</x:t>
        </x:is>
      </x:c>
      <x:c r="C13" s="8" t="inlineStr">
        <x:is>
          <x:t xml:space="preserve">Servicio</x:t>
        </x:is>
      </x:c>
      <x:c r="D13" s="8" t="inlineStr">
        <x:is>
          <x:t xml:space="preserve">Servicios</x:t>
        </x:is>
      </x:c>
      <x:c r="E13" s="8" t="inlineStr">
        <x:is>
          <x:t xml:space="preserve">Servicios</x:t>
        </x:is>
      </x:c>
      <x:c r="F13" s="7" t="inlineStr">
        <x:is>
          <x:t xml:space="preserve">https://interactius.com/servicios/</x:t>
        </x:is>
      </x:c>
    </x:row>
    <x:row r="14">
      <x:c r="A14" s="7" t="inlineStr">
        <x:is>
          <x:t xml:space="preserve">https://interactius.com/servicios/design-maturity-assessment/</x:t>
        </x:is>
      </x:c>
      <x:c r="B14" s="8" t="inlineStr">
        <x:is>
          <x:t xml:space="preserve">Design maturity assessment</x:t>
        </x:is>
      </x:c>
      <x:c r="C14" s="8" t="inlineStr">
        <x:is>
          <x:t xml:space="preserve">Servicio</x:t>
        </x:is>
      </x:c>
      <x:c r="D14" s="8" t="inlineStr">
        <x:is>
          <x:t xml:space="preserve">Servicios</x:t>
        </x:is>
      </x:c>
      <x:c r="E14" s="8" t="inlineStr">
        <x:is>
          <x:t xml:space="preserve">Servicios</x:t>
        </x:is>
      </x:c>
      <x:c r="F14" s="7" t="inlineStr">
        <x:is>
          <x:t xml:space="preserve">https://interactius.com/servicios/</x:t>
        </x:is>
      </x:c>
    </x:row>
    <x:row r="15">
      <x:c r="A15" s="7" t="inlineStr">
        <x:is>
          <x:t xml:space="preserve">https://interactius.com/servicios/ux-branding/</x:t>
        </x:is>
      </x:c>
      <x:c r="B15" s="8" t="inlineStr">
        <x:is>
          <x:t xml:space="preserve">UX Branding</x:t>
        </x:is>
      </x:c>
      <x:c r="C15" s="8" t="inlineStr">
        <x:is>
          <x:t xml:space="preserve">Servicio</x:t>
        </x:is>
      </x:c>
      <x:c r="D15" s="8" t="inlineStr">
        <x:is>
          <x:t xml:space="preserve">Servicios</x:t>
        </x:is>
      </x:c>
      <x:c r="E15" s="8" t="inlineStr">
        <x:is>
          <x:t xml:space="preserve">Servicios</x:t>
        </x:is>
      </x:c>
      <x:c r="F15" s="7" t="inlineStr">
        <x:is>
          <x:t xml:space="preserve">https://interactius.com/servicios/</x:t>
        </x:is>
      </x:c>
    </x:row>
    <x:row r="16">
      <x:c r="A16" s="7" t="inlineStr">
        <x:is>
          <x:t xml:space="preserve">https://interactius.com/servicios/diseno-de-producto-digital/</x:t>
        </x:is>
      </x:c>
      <x:c r="B16" s="8" t="inlineStr">
        <x:is>
          <x:t xml:space="preserve">Diseño de producto digital</x:t>
        </x:is>
      </x:c>
      <x:c r="C16" s="8" t="inlineStr">
        <x:is>
          <x:t xml:space="preserve">Servicio</x:t>
        </x:is>
      </x:c>
      <x:c r="D16" s="8" t="inlineStr">
        <x:is>
          <x:t xml:space="preserve">Servicios</x:t>
        </x:is>
      </x:c>
      <x:c r="E16" s="8" t="inlineStr">
        <x:is>
          <x:t xml:space="preserve">Servicios</x:t>
        </x:is>
      </x:c>
      <x:c r="F16" s="7" t="inlineStr">
        <x:is>
          <x:t xml:space="preserve">https://interactius.com/servicios/</x:t>
        </x:is>
      </x:c>
    </x:row>
    <x:row r="17">
      <x:c r="A17" s="7" t="inlineStr">
        <x:is>
          <x:t xml:space="preserve">https://interactius.com/servicios/cro/</x:t>
        </x:is>
      </x:c>
      <x:c r="B17" s="8" t="inlineStr">
        <x:is>
          <x:t xml:space="preserve">CRO - UX Convert</x:t>
        </x:is>
      </x:c>
      <x:c r="C17" s="8" t="inlineStr">
        <x:is>
          <x:t xml:space="preserve">Servicio</x:t>
        </x:is>
      </x:c>
      <x:c r="D17" s="8" t="inlineStr">
        <x:is>
          <x:t xml:space="preserve">Servicios</x:t>
        </x:is>
      </x:c>
      <x:c r="E17" s="8" t="inlineStr">
        <x:is>
          <x:t xml:space="preserve">Servicios</x:t>
        </x:is>
      </x:c>
      <x:c r="F17" s="7" t="inlineStr">
        <x:is>
          <x:t xml:space="preserve">https://interactius.com/servicios/</x:t>
        </x:is>
      </x:c>
    </x:row>
    <x:row r="18">
      <x:c r="A18" s="7" t="inlineStr">
        <x:is>
          <x:t xml:space="preserve">https://interactius.com/servicios/auditoria-ux-para-ecommerce/</x:t>
        </x:is>
      </x:c>
      <x:c r="B18" s="8" t="inlineStr">
        <x:is>
          <x:t xml:space="preserve">Auditoría UX para e-commerce</x:t>
        </x:is>
      </x:c>
      <x:c r="C18" s="8" t="inlineStr">
        <x:is>
          <x:t xml:space="preserve">Servicio</x:t>
        </x:is>
      </x:c>
      <x:c r="D18" s="8" t="inlineStr">
        <x:is>
          <x:t xml:space="preserve">Servicios</x:t>
        </x:is>
      </x:c>
      <x:c r="E18" s="8" t="inlineStr">
        <x:is>
          <x:t xml:space="preserve">Servicios</x:t>
        </x:is>
      </x:c>
      <x:c r="F18" s="7" t="inlineStr">
        <x:is>
          <x:t xml:space="preserve">https://interactius.com/servicios/</x:t>
        </x:is>
      </x:c>
    </x:row>
    <x:row r="19">
      <x:c r="A19" s="7" t="inlineStr">
        <x:is>
          <x:t xml:space="preserve">https://interactius.com/servicios/auditoria-de-accesibilidad-ux/</x:t>
        </x:is>
      </x:c>
      <x:c r="B19" s="8" t="inlineStr">
        <x:is>
          <x:t xml:space="preserve">Auditoría de Accesibilidad UX</x:t>
        </x:is>
      </x:c>
      <x:c r="C19" s="8" t="inlineStr">
        <x:is>
          <x:t xml:space="preserve">Servicio</x:t>
        </x:is>
      </x:c>
      <x:c r="D19" s="8" t="inlineStr">
        <x:is>
          <x:t xml:space="preserve">Servicios</x:t>
        </x:is>
      </x:c>
      <x:c r="E19" s="8" t="inlineStr">
        <x:is>
          <x:t xml:space="preserve">Servicios</x:t>
        </x:is>
      </x:c>
      <x:c r="F19" s="7" t="inlineStr">
        <x:is>
          <x:t xml:space="preserve">https://interactius.com/servicios/</x:t>
        </x:is>
      </x:c>
    </x:row>
    <x:row r="20">
      <x:c r="A20" s="7" t="inlineStr">
        <x:is>
          <x:t xml:space="preserve">https://interactius.com/servicios/ux-as-a-service/</x:t>
        </x:is>
      </x:c>
      <x:c r="B20" s="8" t="inlineStr">
        <x:is>
          <x:t xml:space="preserve">UX As A Service | UXAAS para empresas</x:t>
        </x:is>
      </x:c>
      <x:c r="C20" s="8" t="inlineStr">
        <x:is>
          <x:t xml:space="preserve">Servicio</x:t>
        </x:is>
      </x:c>
      <x:c r="D20" s="8" t="inlineStr">
        <x:is>
          <x:t xml:space="preserve">Servicios</x:t>
        </x:is>
      </x:c>
      <x:c r="E20" s="8" t="inlineStr">
        <x:is>
          <x:t xml:space="preserve">Servicios</x:t>
        </x:is>
      </x:c>
      <x:c r="F20" s="7" t="inlineStr">
        <x:is>
          <x:t xml:space="preserve">https://interactius.com/servicios/</x:t>
        </x:is>
      </x:c>
    </x:row>
    <x:row r="21">
      <x:c r="A21" s="7" t="inlineStr">
        <x:is>
          <x:t xml:space="preserve">https://interactius.com/servicios/workshops/</x:t>
        </x:is>
      </x:c>
      <x:c r="B21" s="8" t="inlineStr">
        <x:is>
          <x:t xml:space="preserve">Workshops colaborativos</x:t>
        </x:is>
      </x:c>
      <x:c r="C21" s="8" t="inlineStr">
        <x:is>
          <x:t xml:space="preserve">Servicio</x:t>
        </x:is>
      </x:c>
      <x:c r="D21" s="8" t="inlineStr">
        <x:is>
          <x:t xml:space="preserve">Servicios</x:t>
        </x:is>
      </x:c>
      <x:c r="E21" s="8" t="inlineStr">
        <x:is>
          <x:t xml:space="preserve">Servicios</x:t>
        </x:is>
      </x:c>
      <x:c r="F21" s="7" t="inlineStr">
        <x:is>
          <x:t xml:space="preserve">https://interactius.com/servicios/</x:t>
        </x:is>
      </x:c>
    </x:row>
    <x:row r="22">
      <x:c r="A22" s="7" t="inlineStr">
        <x:is>
          <x:t xml:space="preserve">https://interactius.com/servicios/workshops/workshop-lego-serious-play/</x:t>
        </x:is>
      </x:c>
      <x:c r="B22" s="8" t="inlineStr">
        <x:is>
          <x:t xml:space="preserve">Workshop Lego Serious Play</x:t>
        </x:is>
      </x:c>
      <x:c r="C22" s="8" t="inlineStr">
        <x:is>
          <x:t xml:space="preserve">Servicio</x:t>
        </x:is>
      </x:c>
      <x:c r="D22" s="8" t="inlineStr">
        <x:is>
          <x:t xml:space="preserve">Servicios</x:t>
        </x:is>
      </x:c>
      <x:c r="E22" s="8" t="inlineStr">
        <x:is>
          <x:t xml:space="preserve">Servicios</x:t>
        </x:is>
      </x:c>
      <x:c r="F22" s="7" t="inlineStr">
        <x:is>
          <x:t xml:space="preserve">https://interactius.com/servicios/</x:t>
        </x:is>
      </x:c>
    </x:row>
    <x:row r="23">
      <x:c r="A23" s="7" t="inlineStr">
        <x:is>
          <x:t xml:space="preserve">https://interactius.com/servicios/formacion-ux-para-empresas/</x:t>
        </x:is>
      </x:c>
      <x:c r="B23" s="8" t="inlineStr">
        <x:is>
          <x:t xml:space="preserve">Formación In Company</x:t>
        </x:is>
      </x:c>
      <x:c r="C23" s="8" t="inlineStr">
        <x:is>
          <x:t xml:space="preserve">Servicio</x:t>
        </x:is>
      </x:c>
      <x:c r="D23" s="8" t="inlineStr">
        <x:is>
          <x:t xml:space="preserve">Servicios</x:t>
        </x:is>
      </x:c>
      <x:c r="E23" s="8" t="inlineStr">
        <x:is>
          <x:t xml:space="preserve">Servicios</x:t>
        </x:is>
      </x:c>
      <x:c r="F23" s="7" t="inlineStr">
        <x:is>
          <x:t xml:space="preserve">https://interactius.com/servicios/</x:t>
        </x:is>
      </x:c>
    </x:row>
    <x:row r="24">
      <x:c r="A24" s="7" t="inlineStr">
        <x:is>
          <x:t xml:space="preserve">https://interactius.com/servicios/profesionales-ux/</x:t>
        </x:is>
      </x:c>
      <x:c r="B24" s="8" t="inlineStr">
        <x:is>
          <x:t xml:space="preserve">Profesionales UX</x:t>
        </x:is>
      </x:c>
      <x:c r="C24" s="8" t="inlineStr">
        <x:is>
          <x:t xml:space="preserve">Servicio</x:t>
        </x:is>
      </x:c>
      <x:c r="D24" s="8" t="inlineStr">
        <x:is>
          <x:t xml:space="preserve">Servicios</x:t>
        </x:is>
      </x:c>
      <x:c r="E24" s="8" t="inlineStr">
        <x:is>
          <x:t xml:space="preserve">Servicios</x:t>
        </x:is>
      </x:c>
      <x:c r="F24" s="7" t="inlineStr">
        <x:is>
          <x:t xml:space="preserve">https://interactius.com/servicios/</x:t>
        </x:is>
      </x:c>
    </x:row>
    <x:row r="25">
      <x:c r="A25" s="7" t="inlineStr">
        <x:is>
          <x:t xml:space="preserve">https://interactius.com/servicios/tests-de-usabilidad/</x:t>
        </x:is>
      </x:c>
      <x:c r="B25" s="8" t="inlineStr">
        <x:is>
          <x:t xml:space="preserve">Tests de usabilidad</x:t>
        </x:is>
      </x:c>
      <x:c r="C25" s="8" t="inlineStr">
        <x:is>
          <x:t xml:space="preserve">Servicio</x:t>
        </x:is>
      </x:c>
      <x:c r="D25" s="8" t="inlineStr">
        <x:is>
          <x:t xml:space="preserve">Servicios</x:t>
        </x:is>
      </x:c>
      <x:c r="E25" s="8" t="inlineStr">
        <x:is>
          <x:t xml:space="preserve">Servicios</x:t>
        </x:is>
      </x:c>
      <x:c r="F25" s="7" t="inlineStr">
        <x:is>
          <x:t xml:space="preserve">https://interactius.com/servicios/</x:t>
        </x:is>
      </x:c>
    </x:row>
    <x:row r="26">
      <x:c r="A26" s="7" t="inlineStr">
        <x:is>
          <x:t xml:space="preserve">https://interactius.com/talento-ux/</x:t>
        </x:is>
      </x:c>
      <x:c r="B26" s="8" t="inlineStr">
        <x:is>
          <x:t xml:space="preserve">Talento</x:t>
        </x:is>
      </x:c>
      <x:c r="C26" s="8" t="inlineStr">
        <x:is>
          <x:t xml:space="preserve">Landing</x:t>
        </x:is>
      </x:c>
      <x:c r="D26" s="8" t="inlineStr">
        <x:is>
          <x:t xml:space="preserve">Servicios</x:t>
        </x:is>
      </x:c>
      <x:c r="E26" s="8" t="inlineStr">
        <x:is>
          <x:t xml:space="preserve">Búsqueda pública</x:t>
        </x:is>
      </x:c>
      <x:c r="F26" s="7" t="inlineStr">
        <x:is>
          <x:t xml:space="preserve">https://interactius.com/talento-ux/</x:t>
        </x:is>
      </x:c>
    </x:row>
    <x:row r="27">
      <x:c r="A27" s="7" t="inlineStr">
        <x:is>
          <x:t xml:space="preserve">https://interactius.com/workshots-ideacion-en-remoto/</x:t>
        </x:is>
      </x:c>
      <x:c r="B27" s="8" t="inlineStr">
        <x:is>
          <x:t xml:space="preserve">Workshots - ideación en remoto</x:t>
        </x:is>
      </x:c>
      <x:c r="C27" s="8" t="inlineStr">
        <x:is>
          <x:t xml:space="preserve">Landing</x:t>
        </x:is>
      </x:c>
      <x:c r="D27" s="8" t="inlineStr">
        <x:is>
          <x:t xml:space="preserve">Eventos/Workshops</x:t>
        </x:is>
      </x:c>
      <x:c r="E27" s="8" t="inlineStr">
        <x:is>
          <x:t xml:space="preserve">Búsqueda pública</x:t>
        </x:is>
      </x:c>
      <x:c r="F27" s="7" t="inlineStr">
        <x:is>
          <x:t xml:space="preserve">https://interactius.com/workshots-ideacion-en-remoto/</x:t>
        </x:is>
      </x:c>
    </x:row>
    <x:row r="28">
      <x:c r="A28" s="7" t="inlineStr">
        <x:is>
          <x:t xml:space="preserve">https://interactius.com/workshots-ideacion-ia/</x:t>
        </x:is>
      </x:c>
      <x:c r="B28" s="8" t="inlineStr">
        <x:is>
          <x:t xml:space="preserve">Workshots - Ideación con IA Generativa</x:t>
        </x:is>
      </x:c>
      <x:c r="C28" s="8" t="inlineStr">
        <x:is>
          <x:t xml:space="preserve">Landing</x:t>
        </x:is>
      </x:c>
      <x:c r="D28" s="8" t="inlineStr">
        <x:is>
          <x:t xml:space="preserve">Eventos/Workshops</x:t>
        </x:is>
      </x:c>
      <x:c r="E28" s="8" t="inlineStr">
        <x:is>
          <x:t xml:space="preserve">Búsqueda pública</x:t>
        </x:is>
      </x:c>
      <x:c r="F28" s="7" t="inlineStr">
        <x:is>
          <x:t xml:space="preserve">https://interactius.com/workshots-ideacion-ia/</x:t>
        </x:is>
      </x:c>
    </x:row>
    <x:row r="29">
      <x:c r="A29" s="7" t="inlineStr">
        <x:is>
          <x:t xml:space="preserve">https://interactius.com/casos-de-estudio/exito-freshperts/</x:t>
        </x:is>
      </x:c>
      <x:c r="B29" s="8" t="inlineStr">
        <x:is>
          <x:t xml:space="preserve">Freshperts</x:t>
        </x:is>
      </x:c>
      <x:c r="C29" s="8" t="inlineStr">
        <x:is>
          <x:t xml:space="preserve">Caso de estudio</x:t>
        </x:is>
      </x:c>
      <x:c r="D29" s="8" t="inlineStr">
        <x:is>
          <x:t xml:space="preserve">Casos de estudio</x:t>
        </x:is>
      </x:c>
      <x:c r="E29" s="8" t="inlineStr">
        <x:is>
          <x:t xml:space="preserve">Casos de estudio</x:t>
        </x:is>
      </x:c>
      <x:c r="F29" s="7" t="inlineStr">
        <x:is>
          <x:t xml:space="preserve">https://interactius.com/casos-de-estudio/</x:t>
        </x:is>
      </x:c>
    </x:row>
    <x:row r="30">
      <x:c r="A30" s="7" t="inlineStr">
        <x:is>
          <x:t xml:space="preserve">https://interactius.com/casos-de-estudio/exito-mediacoach/</x:t>
        </x:is>
      </x:c>
      <x:c r="B30" s="8" t="inlineStr">
        <x:is>
          <x:t xml:space="preserve">Mediacoach</x:t>
        </x:is>
      </x:c>
      <x:c r="C30" s="8" t="inlineStr">
        <x:is>
          <x:t xml:space="preserve">Caso de estudio</x:t>
        </x:is>
      </x:c>
      <x:c r="D30" s="8" t="inlineStr">
        <x:is>
          <x:t xml:space="preserve">Casos de estudio</x:t>
        </x:is>
      </x:c>
      <x:c r="E30" s="8" t="inlineStr">
        <x:is>
          <x:t xml:space="preserve">Casos de estudio</x:t>
        </x:is>
      </x:c>
      <x:c r="F30" s="7" t="inlineStr">
        <x:is>
          <x:t xml:space="preserve">https://interactius.com/casos-de-estudio/</x:t>
        </x:is>
      </x:c>
    </x:row>
    <x:row r="31">
      <x:c r="A31" s="7" t="inlineStr">
        <x:is>
          <x:t xml:space="preserve">https://interactius.com/case-study/case-qustodio/</x:t>
        </x:is>
      </x:c>
      <x:c r="B31" s="8" t="inlineStr">
        <x:is>
          <x:t xml:space="preserve">Qustodio</x:t>
        </x:is>
      </x:c>
      <x:c r="C31" s="8" t="inlineStr">
        <x:is>
          <x:t xml:space="preserve">Caso de estudio</x:t>
        </x:is>
      </x:c>
      <x:c r="D31" s="8" t="inlineStr">
        <x:is>
          <x:t xml:space="preserve">Casos de estudio</x:t>
        </x:is>
      </x:c>
      <x:c r="E31" s="8" t="inlineStr">
        <x:is>
          <x:t xml:space="preserve">Casos de estudio</x:t>
        </x:is>
      </x:c>
      <x:c r="F31" s="7" t="inlineStr">
        <x:is>
          <x:t xml:space="preserve">https://interactius.com/casos-de-estudio/</x:t>
        </x:is>
      </x:c>
    </x:row>
    <x:row r="32">
      <x:c r="A32" s="7" t="inlineStr">
        <x:is>
          <x:t xml:space="preserve">https://interactius.com/casos-de-estudio/exito-lanaccess/</x:t>
        </x:is>
      </x:c>
      <x:c r="B32" s="8" t="inlineStr">
        <x:is>
          <x:t xml:space="preserve">Lanaccess</x:t>
        </x:is>
      </x:c>
      <x:c r="C32" s="8" t="inlineStr">
        <x:is>
          <x:t xml:space="preserve">Caso de estudio</x:t>
        </x:is>
      </x:c>
      <x:c r="D32" s="8" t="inlineStr">
        <x:is>
          <x:t xml:space="preserve">Casos de estudio</x:t>
        </x:is>
      </x:c>
      <x:c r="E32" s="8" t="inlineStr">
        <x:is>
          <x:t xml:space="preserve">Casos de estudio</x:t>
        </x:is>
      </x:c>
      <x:c r="F32" s="7" t="inlineStr">
        <x:is>
          <x:t xml:space="preserve">https://interactius.com/casos-de-estudio/</x:t>
        </x:is>
      </x:c>
    </x:row>
    <x:row r="33">
      <x:c r="A33" s="7" t="inlineStr">
        <x:is>
          <x:t xml:space="preserve">https://interactius.com/casos-de-estudio/exito-ad360/</x:t>
        </x:is>
      </x:c>
      <x:c r="B33" s="8" t="inlineStr">
        <x:is>
          <x:t xml:space="preserve">AD360</x:t>
        </x:is>
      </x:c>
      <x:c r="C33" s="8" t="inlineStr">
        <x:is>
          <x:t xml:space="preserve">Caso de estudio</x:t>
        </x:is>
      </x:c>
      <x:c r="D33" s="8" t="inlineStr">
        <x:is>
          <x:t xml:space="preserve">Casos de estudio</x:t>
        </x:is>
      </x:c>
      <x:c r="E33" s="8" t="inlineStr">
        <x:is>
          <x:t xml:space="preserve">Casos de estudio</x:t>
        </x:is>
      </x:c>
      <x:c r="F33" s="7" t="inlineStr">
        <x:is>
          <x:t xml:space="preserve">https://interactius.com/casos-de-estudio/</x:t>
        </x:is>
      </x:c>
    </x:row>
    <x:row r="34">
      <x:c r="A34" s="7" t="inlineStr">
        <x:is>
          <x:t xml:space="preserve">https://interactius.com/casos-de-estudio/exito-next-us/</x:t>
        </x:is>
      </x:c>
      <x:c r="B34" s="8" t="inlineStr">
        <x:is>
          <x:t xml:space="preserve">Next Us</x:t>
        </x:is>
      </x:c>
      <x:c r="C34" s="8" t="inlineStr">
        <x:is>
          <x:t xml:space="preserve">Caso de estudio</x:t>
        </x:is>
      </x:c>
      <x:c r="D34" s="8" t="inlineStr">
        <x:is>
          <x:t xml:space="preserve">Casos de estudio</x:t>
        </x:is>
      </x:c>
      <x:c r="E34" s="8" t="inlineStr">
        <x:is>
          <x:t xml:space="preserve">Casos de estudio</x:t>
        </x:is>
      </x:c>
      <x:c r="F34" s="7" t="inlineStr">
        <x:is>
          <x:t xml:space="preserve">https://interactius.com/casos-de-estudio/</x:t>
        </x:is>
      </x:c>
    </x:row>
    <x:row r="35">
      <x:c r="A35" s="7" t="inlineStr">
        <x:is>
          <x:t xml:space="preserve">https://interactius.com/ia/el-proceso-de-diseno-tradicional-esta-muerto-el-nuevo-rol-del-disenador-segun-anthropic/</x:t>
        </x:is>
      </x:c>
      <x:c r="B35" s="8" t="inlineStr">
        <x:is>
          <x:t xml:space="preserve">El proceso de diseño tradicional está muerto</x:t>
        </x:is>
      </x:c>
      <x:c r="C35" s="8" t="inlineStr">
        <x:is>
          <x:t xml:space="preserve">Blog</x:t>
        </x:is>
      </x:c>
      <x:c r="D35" s="8" t="inlineStr">
        <x:is>
          <x:t xml:space="preserve">Blog</x:t>
        </x:is>
      </x:c>
      <x:c r="E35" s="8" t="inlineStr">
        <x:is>
          <x:t xml:space="preserve">Blog</x:t>
        </x:is>
      </x:c>
      <x:c r="F35" s="7" t="inlineStr">
        <x:is>
          <x:t xml:space="preserve">https://interactius.com/blog/</x:t>
        </x:is>
      </x:c>
    </x:row>
    <x:row r="36">
      <x:c r="A36" s="7" t="inlineStr">
        <x:is>
          <x:t xml:space="preserve">https://interactius.com/ia/el-diseno-ux-y-de-producto-entro-en-una-nueva-era-conversacion-con-antonio-diaz-cueto/</x:t>
        </x:is>
      </x:c>
      <x:c r="B36" s="8" t="inlineStr">
        <x:is>
          <x:t xml:space="preserve">El Diseño UX y de producto entró en una nueva era</x:t>
        </x:is>
      </x:c>
      <x:c r="C36" s="8" t="inlineStr">
        <x:is>
          <x:t xml:space="preserve">Blog</x:t>
        </x:is>
      </x:c>
      <x:c r="D36" s="8" t="inlineStr">
        <x:is>
          <x:t xml:space="preserve">Blog</x:t>
        </x:is>
      </x:c>
      <x:c r="E36" s="8" t="inlineStr">
        <x:is>
          <x:t xml:space="preserve">Blog</x:t>
        </x:is>
      </x:c>
      <x:c r="F36" s="7" t="inlineStr">
        <x:is>
          <x:t xml:space="preserve">https://interactius.com/blog/</x:t>
        </x:is>
      </x:c>
    </x:row>
    <x:row r="37">
      <x:c r="A37" s="7" t="inlineStr">
        <x:is>
          <x:t xml:space="preserve">https://interactius.com/estrategia/prospectiva-estrategica-de-la-incertidumbre-a-la-accion/</x:t>
        </x:is>
      </x:c>
      <x:c r="B37" s="8" t="inlineStr">
        <x:is>
          <x:t xml:space="preserve">Prospectiva Estratégica: De la Incertidumbre a la Acción</x:t>
        </x:is>
      </x:c>
      <x:c r="C37" s="8" t="inlineStr">
        <x:is>
          <x:t xml:space="preserve">Blog</x:t>
        </x:is>
      </x:c>
      <x:c r="D37" s="8" t="inlineStr">
        <x:is>
          <x:t xml:space="preserve">Blog</x:t>
        </x:is>
      </x:c>
      <x:c r="E37" s="8" t="inlineStr">
        <x:is>
          <x:t xml:space="preserve">Blog</x:t>
        </x:is>
      </x:c>
      <x:c r="F37" s="7" t="inlineStr">
        <x:is>
          <x:t xml:space="preserve">https://interactius.com/blog/</x:t>
        </x:is>
      </x:c>
    </x:row>
    <x:row r="38">
      <x:c r="A38" s="7" t="inlineStr">
        <x:is>
          <x:t xml:space="preserve">https://interactius.com/ia/el-nuevo-rol-del-product-designer-en-la-era-del-vibe-coding/</x:t>
        </x:is>
      </x:c>
      <x:c r="B38" s="8" t="inlineStr">
        <x:is>
          <x:t xml:space="preserve">El nuevo rol del Product Designer en la era del Vibe Coding</x:t>
        </x:is>
      </x:c>
      <x:c r="C38" s="8" t="inlineStr">
        <x:is>
          <x:t xml:space="preserve">Blog</x:t>
        </x:is>
      </x:c>
      <x:c r="D38" s="8" t="inlineStr">
        <x:is>
          <x:t xml:space="preserve">Blog</x:t>
        </x:is>
      </x:c>
      <x:c r="E38" s="8" t="inlineStr">
        <x:is>
          <x:t xml:space="preserve">Blog</x:t>
        </x:is>
      </x:c>
      <x:c r="F38" s="7" t="inlineStr">
        <x:is>
          <x:t xml:space="preserve">https://interactius.com/blog/</x:t>
        </x:is>
      </x:c>
    </x:row>
    <x:row r="39">
      <x:c r="A39" s="7" t="inlineStr">
        <x:is>
          <x:t xml:space="preserve">https://interactius.com/ia/la-ia-ya-no-es-la-ventaja-competitiva/</x:t>
        </x:is>
      </x:c>
      <x:c r="B39" s="8" t="inlineStr">
        <x:is>
          <x:t xml:space="preserve">La IA ya no es la ventaja competitiva</x:t>
        </x:is>
      </x:c>
      <x:c r="C39" s="8" t="inlineStr">
        <x:is>
          <x:t xml:space="preserve">Blog</x:t>
        </x:is>
      </x:c>
      <x:c r="D39" s="8" t="inlineStr">
        <x:is>
          <x:t xml:space="preserve">Blog</x:t>
        </x:is>
      </x:c>
      <x:c r="E39" s="8" t="inlineStr">
        <x:is>
          <x:t xml:space="preserve">Blog</x:t>
        </x:is>
      </x:c>
      <x:c r="F39" s="7" t="inlineStr">
        <x:is>
          <x:t xml:space="preserve">https://interactius.com/blog/</x:t>
        </x:is>
      </x:c>
    </x:row>
    <x:row r="40">
      <x:c r="A40" s="7" t="inlineStr">
        <x:is>
          <x:t xml:space="preserve">https://interactius.com/ia/ux-research-con-ia-investigar-antes-decidir-mejor-generar-impacto/</x:t>
        </x:is>
      </x:c>
      <x:c r="B40" s="8" t="inlineStr">
        <x:is>
          <x:t xml:space="preserve">UX Research con IA: investigar antes, decidir mejor, generar impacto</x:t>
        </x:is>
      </x:c>
      <x:c r="C40" s="8" t="inlineStr">
        <x:is>
          <x:t xml:space="preserve">Blog</x:t>
        </x:is>
      </x:c>
      <x:c r="D40" s="8" t="inlineStr">
        <x:is>
          <x:t xml:space="preserve">Blog</x:t>
        </x:is>
      </x:c>
      <x:c r="E40" s="8" t="inlineStr">
        <x:is>
          <x:t xml:space="preserve">Blog</x:t>
        </x:is>
      </x:c>
      <x:c r="F40" s="7" t="inlineStr">
        <x:is>
          <x:t xml:space="preserve">https://interactius.com/blog/</x:t>
        </x:is>
      </x:c>
    </x:row>
    <x:row r="41">
      <x:c r="A41" s="7" t="inlineStr">
        <x:is>
          <x:t xml:space="preserve">https://interactius.com/ia/clonica-no-es-magia-es-research-con-ia-asi-trabajamos-con-usuarios-sinteticos/</x:t>
        </x:is>
      </x:c>
      <x:c r="B41" s="8" t="inlineStr">
        <x:is>
          <x:t xml:space="preserve">Clonica: así trabajamos con usuarios sintéticos</x:t>
        </x:is>
      </x:c>
      <x:c r="C41" s="8" t="inlineStr">
        <x:is>
          <x:t xml:space="preserve">Blog</x:t>
        </x:is>
      </x:c>
      <x:c r="D41" s="8" t="inlineStr">
        <x:is>
          <x:t xml:space="preserve">Blog</x:t>
        </x:is>
      </x:c>
      <x:c r="E41" s="8" t="inlineStr">
        <x:is>
          <x:t xml:space="preserve">Blog</x:t>
        </x:is>
      </x:c>
      <x:c r="F41" s="7" t="inlineStr">
        <x:is>
          <x:t xml:space="preserve">https://interactius.com/blog/</x:t>
        </x:is>
      </x:c>
    </x:row>
    <x:row r="42">
      <x:c r="A42" s="7" t="inlineStr">
        <x:is>
          <x:t xml:space="preserve">https://interactius.com/design/manifiesto-rebel-el-archivo-vivo-de-voces-que-piden-un-diseno-mas-humano/</x:t>
        </x:is>
      </x:c>
      <x:c r="B42" s="8" t="inlineStr">
        <x:is>
          <x:t xml:space="preserve">Manifiesto Rebel</x:t>
        </x:is>
      </x:c>
      <x:c r="C42" s="8" t="inlineStr">
        <x:is>
          <x:t xml:space="preserve">Blog</x:t>
        </x:is>
      </x:c>
      <x:c r="D42" s="8" t="inlineStr">
        <x:is>
          <x:t xml:space="preserve">Blog</x:t>
        </x:is>
      </x:c>
      <x:c r="E42" s="8" t="inlineStr">
        <x:is>
          <x:t xml:space="preserve">Blog</x:t>
        </x:is>
      </x:c>
      <x:c r="F42" s="7" t="inlineStr">
        <x:is>
          <x:t xml:space="preserve">https://interactius.com/blog/</x:t>
        </x:is>
      </x:c>
    </x:row>
    <x:row r="43">
      <x:c r="A43" s="7" t="inlineStr">
        <x:is>
          <x:t xml:space="preserve">https://interactius.com/design/del-designops-a-la-accesibilidad-y-la-ia-conversacion-con-raul-luque-ibm/</x:t>
        </x:is>
      </x:c>
      <x:c r="B43" s="8" t="inlineStr">
        <x:is>
          <x:t xml:space="preserve">Del DesignOps a la Accesibilidad y la IA</x:t>
        </x:is>
      </x:c>
      <x:c r="C43" s="8" t="inlineStr">
        <x:is>
          <x:t xml:space="preserve">Blog</x:t>
        </x:is>
      </x:c>
      <x:c r="D43" s="8" t="inlineStr">
        <x:is>
          <x:t xml:space="preserve">Blog</x:t>
        </x:is>
      </x:c>
      <x:c r="E43" s="8" t="inlineStr">
        <x:is>
          <x:t xml:space="preserve">Blog</x:t>
        </x:is>
      </x:c>
      <x:c r="F43" s="7" t="inlineStr">
        <x:is>
          <x:t xml:space="preserve">https://interactius.com/blog/</x:t>
        </x:is>
      </x:c>
    </x:row>
    <x:row r="44">
      <x:c r="A44" s="7" t="inlineStr">
        <x:is>
          <x:t xml:space="preserve">https://interactius.com/ia/human-first-next-ai-de-humano-a-humano-despues-la-ia/</x:t>
        </x:is>
      </x:c>
      <x:c r="B44" s="8" t="inlineStr">
        <x:is>
          <x:t xml:space="preserve">Human First, Next AI</x:t>
        </x:is>
      </x:c>
      <x:c r="C44" s="8" t="inlineStr">
        <x:is>
          <x:t xml:space="preserve">Blog</x:t>
        </x:is>
      </x:c>
      <x:c r="D44" s="8" t="inlineStr">
        <x:is>
          <x:t xml:space="preserve">Blog</x:t>
        </x:is>
      </x:c>
      <x:c r="E44" s="8" t="inlineStr">
        <x:is>
          <x:t xml:space="preserve">Blog</x:t>
        </x:is>
      </x:c>
      <x:c r="F44" s="7" t="inlineStr">
        <x:is>
          <x:t xml:space="preserve">https://interactius.com/blog/</x:t>
        </x:is>
      </x:c>
    </x:row>
    <x:row r="45">
      <x:c r="A45" s="7" t="inlineStr">
        <x:is>
          <x:t xml:space="preserve">https://interactius.com/aviso-legal/</x:t>
        </x:is>
      </x:c>
      <x:c r="B45" s="8" t="inlineStr">
        <x:is>
          <x:t xml:space="preserve">Aviso Legal</x:t>
        </x:is>
      </x:c>
      <x:c r="C45" s="8" t="inlineStr">
        <x:is>
          <x:t xml:space="preserve">Legal</x:t>
        </x:is>
      </x:c>
      <x:c r="D45" s="8" t="inlineStr">
        <x:is>
          <x:t xml:space="preserve">Legal</x:t>
        </x:is>
      </x:c>
      <x:c r="E45" s="8" t="inlineStr">
        <x:is>
          <x:t xml:space="preserve">Footer</x:t>
        </x:is>
      </x:c>
      <x:c r="F45" s="7" t="inlineStr">
        <x:is>
          <x:t xml:space="preserve">https://interactius.com/</x:t>
        </x:is>
      </x:c>
    </x:row>
    <x:row r="46">
      <x:c r="A46" s="7" t="inlineStr">
        <x:is>
          <x:t xml:space="preserve">https://interactius.com/equipo-ux/empleo-ux/</x:t>
        </x:is>
      </x:c>
      <x:c r="B46" s="8" t="inlineStr">
        <x:is>
          <x:t xml:space="preserve">Empleo UX</x:t>
        </x:is>
      </x:c>
      <x:c r="C46" s="8" t="inlineStr">
        <x:is>
          <x:t xml:space="preserve">Talento</x:t>
        </x:is>
      </x:c>
      <x:c r="D46" s="8" t="inlineStr">
        <x:is>
          <x:t xml:space="preserve">Talento</x:t>
        </x:is>
      </x:c>
      <x:c r="E46" s="8" t="inlineStr">
        <x:is>
          <x:t xml:space="preserve">Blog / búsqueda pública</x:t>
        </x:is>
      </x:c>
      <x:c r="F46" s="7" t="inlineStr">
        <x:is>
          <x:t xml:space="preserve">https://interactius.com/equipo-ux/</x:t>
        </x:is>
      </x:c>
    </x:row>
  </x:sheetData>
  <x:pageMargins left="0.7" right="0.7" top="0.75" bottom="0.75" header="0.3" footer="0.3"/>
  <x:legacyDrawing xmlns:r="http://schemas.openxmlformats.org/officeDocument/2006/relationships" r:id="Re525ee1ae8444a6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5" customWidth="1"/>
    <x:col min="2" max="2" width="18" customWidth="1"/>
    <x:col min="3" max="3" width="38" customWidth="1"/>
    <x:col min="4" max="4" width="55" customWidth="1"/>
    <x:col min="5" max="5" width="16" customWidth="1"/>
    <x:col min="6" max="6" width="10" customWidth="1"/>
    <x:col min="7" max="7" width="12" customWidth="1"/>
    <x:col min="8" max="8" width="18" customWidth="1"/>
    <x:col min="9" max="9" width="14" customWidth="1"/>
    <x:col min="10" max="10" width="32" customWidth="1"/>
  </x:cols>
  <x:sheetData>
    <x:row r="1">
      <x:c r="A1" s="2" t="inlineStr">
        <x:is>
          <x:t xml:space="preserve">URL actual</x:t>
        </x:is>
      </x:c>
      <x:c r="B1" s="2" t="inlineStr">
        <x:is>
          <x:t xml:space="preserve">Tipo</x:t>
        </x:is>
      </x:c>
      <x:c r="C1" s="2" t="inlineStr">
        <x:is>
          <x:t xml:space="preserve">Título</x:t>
        </x:is>
      </x:c>
      <x:c r="D1" s="2" t="inlineStr">
        <x:is>
          <x:t xml:space="preserve">URL destino nueva web</x:t>
        </x:is>
      </x:c>
      <x:c r="E1" s="2" t="inlineStr">
        <x:is>
          <x:t xml:space="preserve">Match</x:t>
        </x:is>
      </x:c>
      <x:c r="F1" s="2" t="inlineStr">
        <x:is>
          <x:t xml:space="preserve">HTTP</x:t>
        </x:is>
      </x:c>
      <x:c r="G1" s="2" t="inlineStr">
        <x:is>
          <x:t xml:space="preserve">Prioridad</x:t>
        </x:is>
      </x:c>
      <x:c r="H1" s="2" t="inlineStr">
        <x:is>
          <x:t xml:space="preserve">Owner</x:t>
        </x:is>
      </x:c>
      <x:c r="I1" s="2" t="inlineStr">
        <x:is>
          <x:t xml:space="preserve">Estado</x:t>
        </x:is>
      </x:c>
      <x:c r="J1" s="2" t="inlineStr">
        <x:is>
          <x:t xml:space="preserve">Notas</x:t>
        </x:is>
      </x:c>
    </x:row>
    <x:row r="2">
      <x:c r="A2" s="7" t="inlineStr">
        <x:is>
          <x:t xml:space="preserve">https://interactius.com/</x:t>
        </x:is>
      </x:c>
      <x:c r="B2" s="8" t="inlineStr">
        <x:is>
          <x:t xml:space="preserve">Home</x:t>
        </x:is>
      </x:c>
      <x:c r="C2" s="8" t="inlineStr">
        <x:is>
          <x:t xml:space="preserve">Agencia de Diseño Estratégico y Experiencia de Usuario</x:t>
        </x:is>
      </x:c>
      <x:c r="D2" s="9" t="inlineStr">
        <x:is>
          <x:t xml:space="preserve"/>
        </x:is>
      </x:c>
      <x:c r="E2" s="9" t="inlineStr">
        <x:is>
          <x:t xml:space="preserve"/>
        </x:is>
      </x:c>
      <x:c r="F2" s="9" t="inlineStr">
        <x:is>
          <x:t xml:space="preserve">301</x:t>
        </x:is>
      </x:c>
      <x:c r="G2" s="6" t="str">
        <x:f>IF(OR(B2="Home",B2="Servicio",B2="Caso de estudio",B2="Blog"),"Alta",IF(OR(B2="Página",B2="Landing",B2="Talento"),"Media","Baja"))</x:f>
        <x:v>Alta</x:v>
      </x:c>
      <x:c r="H2" s="9" t="inlineStr">
        <x:is>
          <x:t xml:space="preserve"/>
        </x:is>
      </x:c>
      <x:c r="I2" s="9" t="inlineStr">
        <x:is>
          <x:t xml:space="preserve">Pendiente</x:t>
        </x:is>
      </x:c>
      <x:c r="J2" s="9" t="inlineStr">
        <x:is>
          <x:t xml:space="preserve"/>
        </x:is>
      </x:c>
    </x:row>
    <x:row r="3">
      <x:c r="A3" s="7" t="inlineStr">
        <x:is>
          <x:t xml:space="preserve">https://interactius.com/servicios/</x:t>
        </x:is>
      </x:c>
      <x:c r="B3" s="8" t="inlineStr">
        <x:is>
          <x:t xml:space="preserve">Página</x:t>
        </x:is>
      </x:c>
      <x:c r="C3" s="8" t="inlineStr">
        <x:is>
          <x:t xml:space="preserve">Nuestros servicios son soluciones</x:t>
        </x:is>
      </x:c>
      <x:c r="D3" s="9" t="inlineStr">
        <x:is>
          <x:t xml:space="preserve"/>
        </x:is>
      </x:c>
      <x:c r="E3" s="9" t="inlineStr">
        <x:is>
          <x:t xml:space="preserve"/>
        </x:is>
      </x:c>
      <x:c r="F3" s="9" t="inlineStr">
        <x:is>
          <x:t xml:space="preserve">301</x:t>
        </x:is>
      </x:c>
      <x:c r="G3" s="6" t="str">
        <x:f>IF(OR(B3="Home",B3="Servicio",B3="Caso de estudio",B3="Blog"),"Alta",IF(OR(B3="Página",B3="Landing",B3="Talento"),"Media","Baja"))</x:f>
        <x:v>Media</x:v>
      </x:c>
      <x:c r="H3" s="9" t="inlineStr">
        <x:is>
          <x:t xml:space="preserve"/>
        </x:is>
      </x:c>
      <x:c r="I3" s="9" t="inlineStr">
        <x:is>
          <x:t xml:space="preserve">Pendiente</x:t>
        </x:is>
      </x:c>
      <x:c r="J3" s="9" t="inlineStr">
        <x:is>
          <x:t xml:space="preserve"/>
        </x:is>
      </x:c>
    </x:row>
    <x:row r="4">
      <x:c r="A4" s="7" t="inlineStr">
        <x:is>
          <x:t xml:space="preserve">https://interactius.com/casos-de-estudio/</x:t>
        </x:is>
      </x:c>
      <x:c r="B4" s="8" t="inlineStr">
        <x:is>
          <x:t xml:space="preserve">Página</x:t>
        </x:is>
      </x:c>
      <x:c r="C4" s="8" t="inlineStr">
        <x:is>
          <x:t xml:space="preserve">Casos de estudio</x:t>
        </x:is>
      </x:c>
      <x:c r="D4" s="9" t="inlineStr">
        <x:is>
          <x:t xml:space="preserve"/>
        </x:is>
      </x:c>
      <x:c r="E4" s="9" t="inlineStr">
        <x:is>
          <x:t xml:space="preserve"/>
        </x:is>
      </x:c>
      <x:c r="F4" s="9" t="inlineStr">
        <x:is>
          <x:t xml:space="preserve">301</x:t>
        </x:is>
      </x:c>
      <x:c r="G4" s="6" t="str">
        <x:f>IF(OR(B4="Home",B4="Servicio",B4="Caso de estudio",B4="Blog"),"Alta",IF(OR(B4="Página",B4="Landing",B4="Talento"),"Media","Baja"))</x:f>
        <x:v>Media</x:v>
      </x:c>
      <x:c r="H4" s="9" t="inlineStr">
        <x:is>
          <x:t xml:space="preserve"/>
        </x:is>
      </x:c>
      <x:c r="I4" s="9" t="inlineStr">
        <x:is>
          <x:t xml:space="preserve">Pendiente</x:t>
        </x:is>
      </x:c>
      <x:c r="J4" s="9" t="inlineStr">
        <x:is>
          <x:t xml:space="preserve"/>
        </x:is>
      </x:c>
    </x:row>
    <x:row r="5">
      <x:c r="A5" s="7" t="inlineStr">
        <x:is>
          <x:t xml:space="preserve">https://interactius.com/identidad/</x:t>
        </x:is>
      </x:c>
      <x:c r="B5" s="8" t="inlineStr">
        <x:is>
          <x:t xml:space="preserve">Página</x:t>
        </x:is>
      </x:c>
      <x:c r="C5" s="8" t="inlineStr">
        <x:is>
          <x:t xml:space="preserve">¿Quiénes somos? Somos una Rock Band</x:t>
        </x:is>
      </x:c>
      <x:c r="D5" s="9" t="inlineStr">
        <x:is>
          <x:t xml:space="preserve"/>
        </x:is>
      </x:c>
      <x:c r="E5" s="9" t="inlineStr">
        <x:is>
          <x:t xml:space="preserve"/>
        </x:is>
      </x:c>
      <x:c r="F5" s="9" t="inlineStr">
        <x:is>
          <x:t xml:space="preserve">301</x:t>
        </x:is>
      </x:c>
      <x:c r="G5" s="6" t="str">
        <x:f>IF(OR(B5="Home",B5="Servicio",B5="Caso de estudio",B5="Blog"),"Alta",IF(OR(B5="Página",B5="Landing",B5="Talento"),"Media","Baja"))</x:f>
        <x:v>Media</x:v>
      </x:c>
      <x:c r="H5" s="9" t="inlineStr">
        <x:is>
          <x:t xml:space="preserve"/>
        </x:is>
      </x:c>
      <x:c r="I5" s="9" t="inlineStr">
        <x:is>
          <x:t xml:space="preserve">Pendiente</x:t>
        </x:is>
      </x:c>
      <x:c r="J5" s="9" t="inlineStr">
        <x:is>
          <x:t xml:space="preserve"/>
        </x:is>
      </x:c>
    </x:row>
    <x:row r="6">
      <x:c r="A6" s="7" t="inlineStr">
        <x:is>
          <x:t xml:space="preserve">https://interactius.com/metodo/</x:t>
        </x:is>
      </x:c>
      <x:c r="B6" s="8" t="inlineStr">
        <x:is>
          <x:t xml:space="preserve">Página</x:t>
        </x:is>
      </x:c>
      <x:c r="C6" s="8" t="inlineStr">
        <x:is>
          <x:t xml:space="preserve">Conoce nuestra metodología de trabajo UX</x:t>
        </x:is>
      </x:c>
      <x:c r="D6" s="9" t="inlineStr">
        <x:is>
          <x:t xml:space="preserve"/>
        </x:is>
      </x:c>
      <x:c r="E6" s="9" t="inlineStr">
        <x:is>
          <x:t xml:space="preserve"/>
        </x:is>
      </x:c>
      <x:c r="F6" s="9" t="inlineStr">
        <x:is>
          <x:t xml:space="preserve">301</x:t>
        </x:is>
      </x:c>
      <x:c r="G6" s="6" t="str">
        <x:f>IF(OR(B6="Home",B6="Servicio",B6="Caso de estudio",B6="Blog"),"Alta",IF(OR(B6="Página",B6="Landing",B6="Talento"),"Media","Baja"))</x:f>
        <x:v>Media</x:v>
      </x:c>
      <x:c r="H6" s="9" t="inlineStr">
        <x:is>
          <x:t xml:space="preserve"/>
        </x:is>
      </x:c>
      <x:c r="I6" s="9" t="inlineStr">
        <x:is>
          <x:t xml:space="preserve">Pendiente</x:t>
        </x:is>
      </x:c>
      <x:c r="J6" s="9" t="inlineStr">
        <x:is>
          <x:t xml:space="preserve"/>
        </x:is>
      </x:c>
    </x:row>
    <x:row r="7">
      <x:c r="A7" s="7" t="inlineStr">
        <x:is>
          <x:t xml:space="preserve">https://interactius.com/equipo-ux/</x:t>
        </x:is>
      </x:c>
      <x:c r="B7" s="8" t="inlineStr">
        <x:is>
          <x:t xml:space="preserve">Página</x:t>
        </x:is>
      </x:c>
      <x:c r="C7" s="8" t="inlineStr">
        <x:is>
          <x:t xml:space="preserve">Únete a nuestro equipo experto en UX</x:t>
        </x:is>
      </x:c>
      <x:c r="D7" s="9" t="inlineStr">
        <x:is>
          <x:t xml:space="preserve"/>
        </x:is>
      </x:c>
      <x:c r="E7" s="9" t="inlineStr">
        <x:is>
          <x:t xml:space="preserve"/>
        </x:is>
      </x:c>
      <x:c r="F7" s="9" t="inlineStr">
        <x:is>
          <x:t xml:space="preserve">301</x:t>
        </x:is>
      </x:c>
      <x:c r="G7" s="6" t="str">
        <x:f>IF(OR(B7="Home",B7="Servicio",B7="Caso de estudio",B7="Blog"),"Alta",IF(OR(B7="Página",B7="Landing",B7="Talento"),"Media","Baja"))</x:f>
        <x:v>Media</x:v>
      </x:c>
      <x:c r="H7" s="9" t="inlineStr">
        <x:is>
          <x:t xml:space="preserve"/>
        </x:is>
      </x:c>
      <x:c r="I7" s="9" t="inlineStr">
        <x:is>
          <x:t xml:space="preserve">Pendiente</x:t>
        </x:is>
      </x:c>
      <x:c r="J7" s="9" t="inlineStr">
        <x:is>
          <x:t xml:space="preserve"/>
        </x:is>
      </x:c>
    </x:row>
    <x:row r="8">
      <x:c r="A8" s="7" t="inlineStr">
        <x:is>
          <x:t xml:space="preserve">https://interactius.com/blog/</x:t>
        </x:is>
      </x:c>
      <x:c r="B8" s="8" t="inlineStr">
        <x:is>
          <x:t xml:space="preserve">Página</x:t>
        </x:is>
      </x:c>
      <x:c r="C8" s="8" t="inlineStr">
        <x:is>
          <x:t xml:space="preserve">El blog de Interactius</x:t>
        </x:is>
      </x:c>
      <x:c r="D8" s="9" t="inlineStr">
        <x:is>
          <x:t xml:space="preserve"/>
        </x:is>
      </x:c>
      <x:c r="E8" s="9" t="inlineStr">
        <x:is>
          <x:t xml:space="preserve"/>
        </x:is>
      </x:c>
      <x:c r="F8" s="9" t="inlineStr">
        <x:is>
          <x:t xml:space="preserve">301</x:t>
        </x:is>
      </x:c>
      <x:c r="G8" s="6" t="str">
        <x:f>IF(OR(B8="Home",B8="Servicio",B8="Caso de estudio",B8="Blog"),"Alta",IF(OR(B8="Página",B8="Landing",B8="Talento"),"Media","Baja"))</x:f>
        <x:v>Media</x:v>
      </x:c>
      <x:c r="H8" s="9" t="inlineStr">
        <x:is>
          <x:t xml:space="preserve"/>
        </x:is>
      </x:c>
      <x:c r="I8" s="9" t="inlineStr">
        <x:is>
          <x:t xml:space="preserve">Pendiente</x:t>
        </x:is>
      </x:c>
      <x:c r="J8" s="9" t="inlineStr">
        <x:is>
          <x:t xml:space="preserve"/>
        </x:is>
      </x:c>
    </x:row>
    <x:row r="9">
      <x:c r="A9" s="7" t="inlineStr">
        <x:is>
          <x:t xml:space="preserve">https://interactius.com/stmdl/</x:t>
        </x:is>
      </x:c>
      <x:c r="B9" s="8" t="inlineStr">
        <x:is>
          <x:t xml:space="preserve">Landing</x:t>
        </x:is>
      </x:c>
      <x:c r="C9" s="8" t="inlineStr">
        <x:is>
          <x:t xml:space="preserve">#SiTuMeDicesLearn</x:t>
        </x:is>
      </x:c>
      <x:c r="D9" s="9" t="inlineStr">
        <x:is>
          <x:t xml:space="preserve"/>
        </x:is>
      </x:c>
      <x:c r="E9" s="9" t="inlineStr">
        <x:is>
          <x:t xml:space="preserve"/>
        </x:is>
      </x:c>
      <x:c r="F9" s="9" t="inlineStr">
        <x:is>
          <x:t xml:space="preserve">301</x:t>
        </x:is>
      </x:c>
      <x:c r="G9" s="6" t="str">
        <x:f>IF(OR(B9="Home",B9="Servicio",B9="Caso de estudio",B9="Blog"),"Alta",IF(OR(B9="Página",B9="Landing",B9="Talento"),"Media","Baja"))</x:f>
        <x:v>Media</x:v>
      </x:c>
      <x:c r="H9" s="9" t="inlineStr">
        <x:is>
          <x:t xml:space="preserve"/>
        </x:is>
      </x:c>
      <x:c r="I9" s="9" t="inlineStr">
        <x:is>
          <x:t xml:space="preserve">Pendiente</x:t>
        </x:is>
      </x:c>
      <x:c r="J9" s="9" t="inlineStr">
        <x:is>
          <x:t xml:space="preserve"/>
        </x:is>
      </x:c>
    </x:row>
    <x:row r="10">
      <x:c r="A10" s="7" t="inlineStr">
        <x:is>
          <x:t xml:space="preserve">https://interactius.com/testers-interactius/</x:t>
        </x:is>
      </x:c>
      <x:c r="B10" s="8" t="inlineStr">
        <x:is>
          <x:t xml:space="preserve">Landing</x:t>
        </x:is>
      </x:c>
      <x:c r="C10" s="8" t="inlineStr">
        <x:is>
          <x:t xml:space="preserve">¿Quieres ser tester?</x:t>
        </x:is>
      </x:c>
      <x:c r="D10" s="9" t="inlineStr">
        <x:is>
          <x:t xml:space="preserve"/>
        </x:is>
      </x:c>
      <x:c r="E10" s="9" t="inlineStr">
        <x:is>
          <x:t xml:space="preserve"/>
        </x:is>
      </x:c>
      <x:c r="F10" s="9" t="inlineStr">
        <x:is>
          <x:t xml:space="preserve">301</x:t>
        </x:is>
      </x:c>
      <x:c r="G10" s="6" t="str">
        <x:f>IF(OR(B10="Home",B10="Servicio",B10="Caso de estudio",B10="Blog"),"Alta",IF(OR(B10="Página",B10="Landing",B10="Talento"),"Media","Baja"))</x:f>
        <x:v>Media</x:v>
      </x:c>
      <x:c r="H10" s="9" t="inlineStr">
        <x:is>
          <x:t xml:space="preserve"/>
        </x:is>
      </x:c>
      <x:c r="I10" s="9" t="inlineStr">
        <x:is>
          <x:t xml:space="preserve">Pendiente</x:t>
        </x:is>
      </x:c>
      <x:c r="J10" s="9" t="inlineStr">
        <x:is>
          <x:t xml:space="preserve"/>
        </x:is>
      </x:c>
    </x:row>
    <x:row r="11">
      <x:c r="A11" s="7" t="inlineStr">
        <x:is>
          <x:t xml:space="preserve">https://interactius.com/designtapas/</x:t>
        </x:is>
      </x:c>
      <x:c r="B11" s="8" t="inlineStr">
        <x:is>
          <x:t xml:space="preserve">Landing</x:t>
        </x:is>
      </x:c>
      <x:c r="C11" s="8" t="inlineStr">
        <x:is>
          <x:t xml:space="preserve">DesignTapas, la newsletter sobre UX</x:t>
        </x:is>
      </x:c>
      <x:c r="D11" s="9" t="inlineStr">
        <x:is>
          <x:t xml:space="preserve"/>
        </x:is>
      </x:c>
      <x:c r="E11" s="9" t="inlineStr">
        <x:is>
          <x:t xml:space="preserve"/>
        </x:is>
      </x:c>
      <x:c r="F11" s="9" t="inlineStr">
        <x:is>
          <x:t xml:space="preserve">301</x:t>
        </x:is>
      </x:c>
      <x:c r="G11" s="6" t="str">
        <x:f>IF(OR(B11="Home",B11="Servicio",B11="Caso de estudio",B11="Blog"),"Alta",IF(OR(B11="Página",B11="Landing",B11="Talento"),"Media","Baja"))</x:f>
        <x:v>Media</x:v>
      </x:c>
      <x:c r="H11" s="9" t="inlineStr">
        <x:is>
          <x:t xml:space="preserve"/>
        </x:is>
      </x:c>
      <x:c r="I11" s="9" t="inlineStr">
        <x:is>
          <x:t xml:space="preserve">Pendiente</x:t>
        </x:is>
      </x:c>
      <x:c r="J11" s="9" t="inlineStr">
        <x:is>
          <x:t xml:space="preserve"/>
        </x:is>
      </x:c>
    </x:row>
    <x:row r="12">
      <x:c r="A12" s="7" t="inlineStr">
        <x:is>
          <x:t xml:space="preserve">https://interactius.com/servicios/diseno-de-estrategia-ux/</x:t>
        </x:is>
      </x:c>
      <x:c r="B12" s="8" t="inlineStr">
        <x:is>
          <x:t xml:space="preserve">Servicio</x:t>
        </x:is>
      </x:c>
      <x:c r="C12" s="8" t="inlineStr">
        <x:is>
          <x:t xml:space="preserve">Diseño de estrategia UX</x:t>
        </x:is>
      </x:c>
      <x:c r="D12" s="9" t="inlineStr">
        <x:is>
          <x:t xml:space="preserve"/>
        </x:is>
      </x:c>
      <x:c r="E12" s="9" t="inlineStr">
        <x:is>
          <x:t xml:space="preserve"/>
        </x:is>
      </x:c>
      <x:c r="F12" s="9" t="inlineStr">
        <x:is>
          <x:t xml:space="preserve">301</x:t>
        </x:is>
      </x:c>
      <x:c r="G12" s="6" t="str">
        <x:f>IF(OR(B12="Home",B12="Servicio",B12="Caso de estudio",B12="Blog"),"Alta",IF(OR(B12="Página",B12="Landing",B12="Talento"),"Media","Baja"))</x:f>
        <x:v>Alta</x:v>
      </x:c>
      <x:c r="H12" s="9" t="inlineStr">
        <x:is>
          <x:t xml:space="preserve"/>
        </x:is>
      </x:c>
      <x:c r="I12" s="9" t="inlineStr">
        <x:is>
          <x:t xml:space="preserve">Pendiente</x:t>
        </x:is>
      </x:c>
      <x:c r="J12" s="9" t="inlineStr">
        <x:is>
          <x:t xml:space="preserve"/>
        </x:is>
      </x:c>
    </x:row>
    <x:row r="13">
      <x:c r="A13" s="7" t="inlineStr">
        <x:is>
          <x:t xml:space="preserve">https://interactius.com/servicios/user-research/</x:t>
        </x:is>
      </x:c>
      <x:c r="B13" s="8" t="inlineStr">
        <x:is>
          <x:t xml:space="preserve">Servicio</x:t>
        </x:is>
      </x:c>
      <x:c r="C13" s="8" t="inlineStr">
        <x:is>
          <x:t xml:space="preserve">User research</x:t>
        </x:is>
      </x:c>
      <x:c r="D13" s="9" t="inlineStr">
        <x:is>
          <x:t xml:space="preserve"/>
        </x:is>
      </x:c>
      <x:c r="E13" s="9" t="inlineStr">
        <x:is>
          <x:t xml:space="preserve"/>
        </x:is>
      </x:c>
      <x:c r="F13" s="9" t="inlineStr">
        <x:is>
          <x:t xml:space="preserve">301</x:t>
        </x:is>
      </x:c>
      <x:c r="G13" s="6" t="str">
        <x:f>IF(OR(B13="Home",B13="Servicio",B13="Caso de estudio",B13="Blog"),"Alta",IF(OR(B13="Página",B13="Landing",B13="Talento"),"Media","Baja"))</x:f>
        <x:v>Alta</x:v>
      </x:c>
      <x:c r="H13" s="9" t="inlineStr">
        <x:is>
          <x:t xml:space="preserve"/>
        </x:is>
      </x:c>
      <x:c r="I13" s="9" t="inlineStr">
        <x:is>
          <x:t xml:space="preserve">Pendiente</x:t>
        </x:is>
      </x:c>
      <x:c r="J13" s="9" t="inlineStr">
        <x:is>
          <x:t xml:space="preserve"/>
        </x:is>
      </x:c>
    </x:row>
    <x:row r="14">
      <x:c r="A14" s="7" t="inlineStr">
        <x:is>
          <x:t xml:space="preserve">https://interactius.com/servicios/design-maturity-assessment/</x:t>
        </x:is>
      </x:c>
      <x:c r="B14" s="8" t="inlineStr">
        <x:is>
          <x:t xml:space="preserve">Servicio</x:t>
        </x:is>
      </x:c>
      <x:c r="C14" s="8" t="inlineStr">
        <x:is>
          <x:t xml:space="preserve">Design maturity assessment</x:t>
        </x:is>
      </x:c>
      <x:c r="D14" s="9" t="inlineStr">
        <x:is>
          <x:t xml:space="preserve"/>
        </x:is>
      </x:c>
      <x:c r="E14" s="9" t="inlineStr">
        <x:is>
          <x:t xml:space="preserve"/>
        </x:is>
      </x:c>
      <x:c r="F14" s="9" t="inlineStr">
        <x:is>
          <x:t xml:space="preserve">301</x:t>
        </x:is>
      </x:c>
      <x:c r="G14" s="6" t="str">
        <x:f>IF(OR(B14="Home",B14="Servicio",B14="Caso de estudio",B14="Blog"),"Alta",IF(OR(B14="Página",B14="Landing",B14="Talento"),"Media","Baja"))</x:f>
        <x:v>Alta</x:v>
      </x:c>
      <x:c r="H14" s="9" t="inlineStr">
        <x:is>
          <x:t xml:space="preserve"/>
        </x:is>
      </x:c>
      <x:c r="I14" s="9" t="inlineStr">
        <x:is>
          <x:t xml:space="preserve">Pendiente</x:t>
        </x:is>
      </x:c>
      <x:c r="J14" s="9" t="inlineStr">
        <x:is>
          <x:t xml:space="preserve"/>
        </x:is>
      </x:c>
    </x:row>
    <x:row r="15">
      <x:c r="A15" s="7" t="inlineStr">
        <x:is>
          <x:t xml:space="preserve">https://interactius.com/servicios/ux-branding/</x:t>
        </x:is>
      </x:c>
      <x:c r="B15" s="8" t="inlineStr">
        <x:is>
          <x:t xml:space="preserve">Servicio</x:t>
        </x:is>
      </x:c>
      <x:c r="C15" s="8" t="inlineStr">
        <x:is>
          <x:t xml:space="preserve">UX Branding</x:t>
        </x:is>
      </x:c>
      <x:c r="D15" s="9" t="inlineStr">
        <x:is>
          <x:t xml:space="preserve"/>
        </x:is>
      </x:c>
      <x:c r="E15" s="9" t="inlineStr">
        <x:is>
          <x:t xml:space="preserve"/>
        </x:is>
      </x:c>
      <x:c r="F15" s="9" t="inlineStr">
        <x:is>
          <x:t xml:space="preserve">301</x:t>
        </x:is>
      </x:c>
      <x:c r="G15" s="6" t="str">
        <x:f>IF(OR(B15="Home",B15="Servicio",B15="Caso de estudio",B15="Blog"),"Alta",IF(OR(B15="Página",B15="Landing",B15="Talento"),"Media","Baja"))</x:f>
        <x:v>Alta</x:v>
      </x:c>
      <x:c r="H15" s="9" t="inlineStr">
        <x:is>
          <x:t xml:space="preserve"/>
        </x:is>
      </x:c>
      <x:c r="I15" s="9" t="inlineStr">
        <x:is>
          <x:t xml:space="preserve">Pendiente</x:t>
        </x:is>
      </x:c>
      <x:c r="J15" s="9" t="inlineStr">
        <x:is>
          <x:t xml:space="preserve"/>
        </x:is>
      </x:c>
    </x:row>
    <x:row r="16">
      <x:c r="A16" s="7" t="inlineStr">
        <x:is>
          <x:t xml:space="preserve">https://interactius.com/servicios/diseno-de-producto-digital/</x:t>
        </x:is>
      </x:c>
      <x:c r="B16" s="8" t="inlineStr">
        <x:is>
          <x:t xml:space="preserve">Servicio</x:t>
        </x:is>
      </x:c>
      <x:c r="C16" s="8" t="inlineStr">
        <x:is>
          <x:t xml:space="preserve">Diseño de producto digital</x:t>
        </x:is>
      </x:c>
      <x:c r="D16" s="9" t="inlineStr">
        <x:is>
          <x:t xml:space="preserve"/>
        </x:is>
      </x:c>
      <x:c r="E16" s="9" t="inlineStr">
        <x:is>
          <x:t xml:space="preserve"/>
        </x:is>
      </x:c>
      <x:c r="F16" s="9" t="inlineStr">
        <x:is>
          <x:t xml:space="preserve">301</x:t>
        </x:is>
      </x:c>
      <x:c r="G16" s="6" t="str">
        <x:f>IF(OR(B16="Home",B16="Servicio",B16="Caso de estudio",B16="Blog"),"Alta",IF(OR(B16="Página",B16="Landing",B16="Talento"),"Media","Baja"))</x:f>
        <x:v>Alta</x:v>
      </x:c>
      <x:c r="H16" s="9" t="inlineStr">
        <x:is>
          <x:t xml:space="preserve"/>
        </x:is>
      </x:c>
      <x:c r="I16" s="9" t="inlineStr">
        <x:is>
          <x:t xml:space="preserve">Pendiente</x:t>
        </x:is>
      </x:c>
      <x:c r="J16" s="9" t="inlineStr">
        <x:is>
          <x:t xml:space="preserve"/>
        </x:is>
      </x:c>
    </x:row>
    <x:row r="17">
      <x:c r="A17" s="7" t="inlineStr">
        <x:is>
          <x:t xml:space="preserve">https://interactius.com/servicios/cro/</x:t>
        </x:is>
      </x:c>
      <x:c r="B17" s="8" t="inlineStr">
        <x:is>
          <x:t xml:space="preserve">Servicio</x:t>
        </x:is>
      </x:c>
      <x:c r="C17" s="8" t="inlineStr">
        <x:is>
          <x:t xml:space="preserve">CRO - UX Convert</x:t>
        </x:is>
      </x:c>
      <x:c r="D17" s="9" t="inlineStr">
        <x:is>
          <x:t xml:space="preserve"/>
        </x:is>
      </x:c>
      <x:c r="E17" s="9" t="inlineStr">
        <x:is>
          <x:t xml:space="preserve"/>
        </x:is>
      </x:c>
      <x:c r="F17" s="9" t="inlineStr">
        <x:is>
          <x:t xml:space="preserve">301</x:t>
        </x:is>
      </x:c>
      <x:c r="G17" s="6" t="str">
        <x:f>IF(OR(B17="Home",B17="Servicio",B17="Caso de estudio",B17="Blog"),"Alta",IF(OR(B17="Página",B17="Landing",B17="Talento"),"Media","Baja"))</x:f>
        <x:v>Alta</x:v>
      </x:c>
      <x:c r="H17" s="9" t="inlineStr">
        <x:is>
          <x:t xml:space="preserve"/>
        </x:is>
      </x:c>
      <x:c r="I17" s="9" t="inlineStr">
        <x:is>
          <x:t xml:space="preserve">Pendiente</x:t>
        </x:is>
      </x:c>
      <x:c r="J17" s="9" t="inlineStr">
        <x:is>
          <x:t xml:space="preserve"/>
        </x:is>
      </x:c>
    </x:row>
    <x:row r="18">
      <x:c r="A18" s="7" t="inlineStr">
        <x:is>
          <x:t xml:space="preserve">https://interactius.com/servicios/auditoria-ux-para-ecommerce/</x:t>
        </x:is>
      </x:c>
      <x:c r="B18" s="8" t="inlineStr">
        <x:is>
          <x:t xml:space="preserve">Servicio</x:t>
        </x:is>
      </x:c>
      <x:c r="C18" s="8" t="inlineStr">
        <x:is>
          <x:t xml:space="preserve">Auditoría UX para e-commerce</x:t>
        </x:is>
      </x:c>
      <x:c r="D18" s="9" t="inlineStr">
        <x:is>
          <x:t xml:space="preserve"/>
        </x:is>
      </x:c>
      <x:c r="E18" s="9" t="inlineStr">
        <x:is>
          <x:t xml:space="preserve"/>
        </x:is>
      </x:c>
      <x:c r="F18" s="9" t="inlineStr">
        <x:is>
          <x:t xml:space="preserve">301</x:t>
        </x:is>
      </x:c>
      <x:c r="G18" s="6" t="str">
        <x:f>IF(OR(B18="Home",B18="Servicio",B18="Caso de estudio",B18="Blog"),"Alta",IF(OR(B18="Página",B18="Landing",B18="Talento"),"Media","Baja"))</x:f>
        <x:v>Alta</x:v>
      </x:c>
      <x:c r="H18" s="9" t="inlineStr">
        <x:is>
          <x:t xml:space="preserve"/>
        </x:is>
      </x:c>
      <x:c r="I18" s="9" t="inlineStr">
        <x:is>
          <x:t xml:space="preserve">Pendiente</x:t>
        </x:is>
      </x:c>
      <x:c r="J18" s="9" t="inlineStr">
        <x:is>
          <x:t xml:space="preserve"/>
        </x:is>
      </x:c>
    </x:row>
    <x:row r="19">
      <x:c r="A19" s="7" t="inlineStr">
        <x:is>
          <x:t xml:space="preserve">https://interactius.com/servicios/auditoria-de-accesibilidad-ux/</x:t>
        </x:is>
      </x:c>
      <x:c r="B19" s="8" t="inlineStr">
        <x:is>
          <x:t xml:space="preserve">Servicio</x:t>
        </x:is>
      </x:c>
      <x:c r="C19" s="8" t="inlineStr">
        <x:is>
          <x:t xml:space="preserve">Auditoría de Accesibilidad UX</x:t>
        </x:is>
      </x:c>
      <x:c r="D19" s="9" t="inlineStr">
        <x:is>
          <x:t xml:space="preserve"/>
        </x:is>
      </x:c>
      <x:c r="E19" s="9" t="inlineStr">
        <x:is>
          <x:t xml:space="preserve"/>
        </x:is>
      </x:c>
      <x:c r="F19" s="9" t="inlineStr">
        <x:is>
          <x:t xml:space="preserve">301</x:t>
        </x:is>
      </x:c>
      <x:c r="G19" s="6" t="str">
        <x:f>IF(OR(B19="Home",B19="Servicio",B19="Caso de estudio",B19="Blog"),"Alta",IF(OR(B19="Página",B19="Landing",B19="Talento"),"Media","Baja"))</x:f>
        <x:v>Alta</x:v>
      </x:c>
      <x:c r="H19" s="9" t="inlineStr">
        <x:is>
          <x:t xml:space="preserve"/>
        </x:is>
      </x:c>
      <x:c r="I19" s="9" t="inlineStr">
        <x:is>
          <x:t xml:space="preserve">Pendiente</x:t>
        </x:is>
      </x:c>
      <x:c r="J19" s="9" t="inlineStr">
        <x:is>
          <x:t xml:space="preserve"/>
        </x:is>
      </x:c>
    </x:row>
    <x:row r="20">
      <x:c r="A20" s="7" t="inlineStr">
        <x:is>
          <x:t xml:space="preserve">https://interactius.com/servicios/ux-as-a-service/</x:t>
        </x:is>
      </x:c>
      <x:c r="B20" s="8" t="inlineStr">
        <x:is>
          <x:t xml:space="preserve">Servicio</x:t>
        </x:is>
      </x:c>
      <x:c r="C20" s="8" t="inlineStr">
        <x:is>
          <x:t xml:space="preserve">UX As A Service | UXAAS para empresas</x:t>
        </x:is>
      </x:c>
      <x:c r="D20" s="9" t="inlineStr">
        <x:is>
          <x:t xml:space="preserve"/>
        </x:is>
      </x:c>
      <x:c r="E20" s="9" t="inlineStr">
        <x:is>
          <x:t xml:space="preserve"/>
        </x:is>
      </x:c>
      <x:c r="F20" s="9" t="inlineStr">
        <x:is>
          <x:t xml:space="preserve">301</x:t>
        </x:is>
      </x:c>
      <x:c r="G20" s="6" t="str">
        <x:f>IF(OR(B20="Home",B20="Servicio",B20="Caso de estudio",B20="Blog"),"Alta",IF(OR(B20="Página",B20="Landing",B20="Talento"),"Media","Baja"))</x:f>
        <x:v>Alta</x:v>
      </x:c>
      <x:c r="H20" s="9" t="inlineStr">
        <x:is>
          <x:t xml:space="preserve"/>
        </x:is>
      </x:c>
      <x:c r="I20" s="9" t="inlineStr">
        <x:is>
          <x:t xml:space="preserve">Pendiente</x:t>
        </x:is>
      </x:c>
      <x:c r="J20" s="9" t="inlineStr">
        <x:is>
          <x:t xml:space="preserve"/>
        </x:is>
      </x:c>
    </x:row>
    <x:row r="21">
      <x:c r="A21" s="7" t="inlineStr">
        <x:is>
          <x:t xml:space="preserve">https://interactius.com/servicios/workshops/</x:t>
        </x:is>
      </x:c>
      <x:c r="B21" s="8" t="inlineStr">
        <x:is>
          <x:t xml:space="preserve">Servicio</x:t>
        </x:is>
      </x:c>
      <x:c r="C21" s="8" t="inlineStr">
        <x:is>
          <x:t xml:space="preserve">Workshops colaborativos</x:t>
        </x:is>
      </x:c>
      <x:c r="D21" s="9" t="inlineStr">
        <x:is>
          <x:t xml:space="preserve"/>
        </x:is>
      </x:c>
      <x:c r="E21" s="9" t="inlineStr">
        <x:is>
          <x:t xml:space="preserve"/>
        </x:is>
      </x:c>
      <x:c r="F21" s="9" t="inlineStr">
        <x:is>
          <x:t xml:space="preserve">301</x:t>
        </x:is>
      </x:c>
      <x:c r="G21" s="6" t="str">
        <x:f>IF(OR(B21="Home",B21="Servicio",B21="Caso de estudio",B21="Blog"),"Alta",IF(OR(B21="Página",B21="Landing",B21="Talento"),"Media","Baja"))</x:f>
        <x:v>Alta</x:v>
      </x:c>
      <x:c r="H21" s="9" t="inlineStr">
        <x:is>
          <x:t xml:space="preserve"/>
        </x:is>
      </x:c>
      <x:c r="I21" s="9" t="inlineStr">
        <x:is>
          <x:t xml:space="preserve">Pendiente</x:t>
        </x:is>
      </x:c>
      <x:c r="J21" s="9" t="inlineStr">
        <x:is>
          <x:t xml:space="preserve"/>
        </x:is>
      </x:c>
    </x:row>
    <x:row r="22">
      <x:c r="A22" s="7" t="inlineStr">
        <x:is>
          <x:t xml:space="preserve">https://interactius.com/servicios/workshops/workshop-lego-serious-play/</x:t>
        </x:is>
      </x:c>
      <x:c r="B22" s="8" t="inlineStr">
        <x:is>
          <x:t xml:space="preserve">Servicio</x:t>
        </x:is>
      </x:c>
      <x:c r="C22" s="8" t="inlineStr">
        <x:is>
          <x:t xml:space="preserve">Workshop Lego Serious Play</x:t>
        </x:is>
      </x:c>
      <x:c r="D22" s="9" t="inlineStr">
        <x:is>
          <x:t xml:space="preserve"/>
        </x:is>
      </x:c>
      <x:c r="E22" s="9" t="inlineStr">
        <x:is>
          <x:t xml:space="preserve"/>
        </x:is>
      </x:c>
      <x:c r="F22" s="9" t="inlineStr">
        <x:is>
          <x:t xml:space="preserve">301</x:t>
        </x:is>
      </x:c>
      <x:c r="G22" s="6" t="str">
        <x:f>IF(OR(B22="Home",B22="Servicio",B22="Caso de estudio",B22="Blog"),"Alta",IF(OR(B22="Página",B22="Landing",B22="Talento"),"Media","Baja"))</x:f>
        <x:v>Alta</x:v>
      </x:c>
      <x:c r="H22" s="9" t="inlineStr">
        <x:is>
          <x:t xml:space="preserve"/>
        </x:is>
      </x:c>
      <x:c r="I22" s="9" t="inlineStr">
        <x:is>
          <x:t xml:space="preserve">Pendiente</x:t>
        </x:is>
      </x:c>
      <x:c r="J22" s="9" t="inlineStr">
        <x:is>
          <x:t xml:space="preserve"/>
        </x:is>
      </x:c>
    </x:row>
    <x:row r="23">
      <x:c r="A23" s="7" t="inlineStr">
        <x:is>
          <x:t xml:space="preserve">https://interactius.com/servicios/formacion-ux-para-empresas/</x:t>
        </x:is>
      </x:c>
      <x:c r="B23" s="8" t="inlineStr">
        <x:is>
          <x:t xml:space="preserve">Servicio</x:t>
        </x:is>
      </x:c>
      <x:c r="C23" s="8" t="inlineStr">
        <x:is>
          <x:t xml:space="preserve">Formación In Company</x:t>
        </x:is>
      </x:c>
      <x:c r="D23" s="9" t="inlineStr">
        <x:is>
          <x:t xml:space="preserve"/>
        </x:is>
      </x:c>
      <x:c r="E23" s="9" t="inlineStr">
        <x:is>
          <x:t xml:space="preserve"/>
        </x:is>
      </x:c>
      <x:c r="F23" s="9" t="inlineStr">
        <x:is>
          <x:t xml:space="preserve">301</x:t>
        </x:is>
      </x:c>
      <x:c r="G23" s="6" t="str">
        <x:f>IF(OR(B23="Home",B23="Servicio",B23="Caso de estudio",B23="Blog"),"Alta",IF(OR(B23="Página",B23="Landing",B23="Talento"),"Media","Baja"))</x:f>
        <x:v>Alta</x:v>
      </x:c>
      <x:c r="H23" s="9" t="inlineStr">
        <x:is>
          <x:t xml:space="preserve"/>
        </x:is>
      </x:c>
      <x:c r="I23" s="9" t="inlineStr">
        <x:is>
          <x:t xml:space="preserve">Pendiente</x:t>
        </x:is>
      </x:c>
      <x:c r="J23" s="9" t="inlineStr">
        <x:is>
          <x:t xml:space="preserve"/>
        </x:is>
      </x:c>
    </x:row>
    <x:row r="24">
      <x:c r="A24" s="7" t="inlineStr">
        <x:is>
          <x:t xml:space="preserve">https://interactius.com/servicios/profesionales-ux/</x:t>
        </x:is>
      </x:c>
      <x:c r="B24" s="8" t="inlineStr">
        <x:is>
          <x:t xml:space="preserve">Servicio</x:t>
        </x:is>
      </x:c>
      <x:c r="C24" s="8" t="inlineStr">
        <x:is>
          <x:t xml:space="preserve">Profesionales UX</x:t>
        </x:is>
      </x:c>
      <x:c r="D24" s="9" t="inlineStr">
        <x:is>
          <x:t xml:space="preserve"/>
        </x:is>
      </x:c>
      <x:c r="E24" s="9" t="inlineStr">
        <x:is>
          <x:t xml:space="preserve"/>
        </x:is>
      </x:c>
      <x:c r="F24" s="9" t="inlineStr">
        <x:is>
          <x:t xml:space="preserve">301</x:t>
        </x:is>
      </x:c>
      <x:c r="G24" s="6" t="str">
        <x:f>IF(OR(B24="Home",B24="Servicio",B24="Caso de estudio",B24="Blog"),"Alta",IF(OR(B24="Página",B24="Landing",B24="Talento"),"Media","Baja"))</x:f>
        <x:v>Alta</x:v>
      </x:c>
      <x:c r="H24" s="9" t="inlineStr">
        <x:is>
          <x:t xml:space="preserve"/>
        </x:is>
      </x:c>
      <x:c r="I24" s="9" t="inlineStr">
        <x:is>
          <x:t xml:space="preserve">Pendiente</x:t>
        </x:is>
      </x:c>
      <x:c r="J24" s="9" t="inlineStr">
        <x:is>
          <x:t xml:space="preserve"/>
        </x:is>
      </x:c>
    </x:row>
    <x:row r="25">
      <x:c r="A25" s="7" t="inlineStr">
        <x:is>
          <x:t xml:space="preserve">https://interactius.com/servicios/tests-de-usabilidad/</x:t>
        </x:is>
      </x:c>
      <x:c r="B25" s="8" t="inlineStr">
        <x:is>
          <x:t xml:space="preserve">Servicio</x:t>
        </x:is>
      </x:c>
      <x:c r="C25" s="8" t="inlineStr">
        <x:is>
          <x:t xml:space="preserve">Tests de usabilidad</x:t>
        </x:is>
      </x:c>
      <x:c r="D25" s="9" t="inlineStr">
        <x:is>
          <x:t xml:space="preserve"/>
        </x:is>
      </x:c>
      <x:c r="E25" s="9" t="inlineStr">
        <x:is>
          <x:t xml:space="preserve"/>
        </x:is>
      </x:c>
      <x:c r="F25" s="9" t="inlineStr">
        <x:is>
          <x:t xml:space="preserve">301</x:t>
        </x:is>
      </x:c>
      <x:c r="G25" s="6" t="str">
        <x:f>IF(OR(B25="Home",B25="Servicio",B25="Caso de estudio",B25="Blog"),"Alta",IF(OR(B25="Página",B25="Landing",B25="Talento"),"Media","Baja"))</x:f>
        <x:v>Alta</x:v>
      </x:c>
      <x:c r="H25" s="9" t="inlineStr">
        <x:is>
          <x:t xml:space="preserve"/>
        </x:is>
      </x:c>
      <x:c r="I25" s="9" t="inlineStr">
        <x:is>
          <x:t xml:space="preserve">Pendiente</x:t>
        </x:is>
      </x:c>
      <x:c r="J25" s="9" t="inlineStr">
        <x:is>
          <x:t xml:space="preserve"/>
        </x:is>
      </x:c>
    </x:row>
    <x:row r="26">
      <x:c r="A26" s="7" t="inlineStr">
        <x:is>
          <x:t xml:space="preserve">https://interactius.com/talento-ux/</x:t>
        </x:is>
      </x:c>
      <x:c r="B26" s="8" t="inlineStr">
        <x:is>
          <x:t xml:space="preserve">Landing</x:t>
        </x:is>
      </x:c>
      <x:c r="C26" s="8" t="inlineStr">
        <x:is>
          <x:t xml:space="preserve">Talento</x:t>
        </x:is>
      </x:c>
      <x:c r="D26" s="9" t="inlineStr">
        <x:is>
          <x:t xml:space="preserve"/>
        </x:is>
      </x:c>
      <x:c r="E26" s="9" t="inlineStr">
        <x:is>
          <x:t xml:space="preserve"/>
        </x:is>
      </x:c>
      <x:c r="F26" s="9" t="inlineStr">
        <x:is>
          <x:t xml:space="preserve">301</x:t>
        </x:is>
      </x:c>
      <x:c r="G26" s="6" t="str">
        <x:f>IF(OR(B26="Home",B26="Servicio",B26="Caso de estudio",B26="Blog"),"Alta",IF(OR(B26="Página",B26="Landing",B26="Talento"),"Media","Baja"))</x:f>
        <x:v>Media</x:v>
      </x:c>
      <x:c r="H26" s="9" t="inlineStr">
        <x:is>
          <x:t xml:space="preserve"/>
        </x:is>
      </x:c>
      <x:c r="I26" s="9" t="inlineStr">
        <x:is>
          <x:t xml:space="preserve">Pendiente</x:t>
        </x:is>
      </x:c>
      <x:c r="J26" s="9" t="inlineStr">
        <x:is>
          <x:t xml:space="preserve"/>
        </x:is>
      </x:c>
    </x:row>
    <x:row r="27">
      <x:c r="A27" s="7" t="inlineStr">
        <x:is>
          <x:t xml:space="preserve">https://interactius.com/workshots-ideacion-en-remoto/</x:t>
        </x:is>
      </x:c>
      <x:c r="B27" s="8" t="inlineStr">
        <x:is>
          <x:t xml:space="preserve">Landing</x:t>
        </x:is>
      </x:c>
      <x:c r="C27" s="8" t="inlineStr">
        <x:is>
          <x:t xml:space="preserve">Workshots - ideación en remoto</x:t>
        </x:is>
      </x:c>
      <x:c r="D27" s="9" t="inlineStr">
        <x:is>
          <x:t xml:space="preserve"/>
        </x:is>
      </x:c>
      <x:c r="E27" s="9" t="inlineStr">
        <x:is>
          <x:t xml:space="preserve"/>
        </x:is>
      </x:c>
      <x:c r="F27" s="9" t="inlineStr">
        <x:is>
          <x:t xml:space="preserve">301</x:t>
        </x:is>
      </x:c>
      <x:c r="G27" s="6" t="str">
        <x:f>IF(OR(B27="Home",B27="Servicio",B27="Caso de estudio",B27="Blog"),"Alta",IF(OR(B27="Página",B27="Landing",B27="Talento"),"Media","Baja"))</x:f>
        <x:v>Media</x:v>
      </x:c>
      <x:c r="H27" s="9" t="inlineStr">
        <x:is>
          <x:t xml:space="preserve"/>
        </x:is>
      </x:c>
      <x:c r="I27" s="9" t="inlineStr">
        <x:is>
          <x:t xml:space="preserve">Pendiente</x:t>
        </x:is>
      </x:c>
      <x:c r="J27" s="9" t="inlineStr">
        <x:is>
          <x:t xml:space="preserve"/>
        </x:is>
      </x:c>
    </x:row>
    <x:row r="28">
      <x:c r="A28" s="7" t="inlineStr">
        <x:is>
          <x:t xml:space="preserve">https://interactius.com/workshots-ideacion-ia/</x:t>
        </x:is>
      </x:c>
      <x:c r="B28" s="8" t="inlineStr">
        <x:is>
          <x:t xml:space="preserve">Landing</x:t>
        </x:is>
      </x:c>
      <x:c r="C28" s="8" t="inlineStr">
        <x:is>
          <x:t xml:space="preserve">Workshots - Ideación con IA Generativa</x:t>
        </x:is>
      </x:c>
      <x:c r="D28" s="9" t="inlineStr">
        <x:is>
          <x:t xml:space="preserve"/>
        </x:is>
      </x:c>
      <x:c r="E28" s="9" t="inlineStr">
        <x:is>
          <x:t xml:space="preserve"/>
        </x:is>
      </x:c>
      <x:c r="F28" s="9" t="inlineStr">
        <x:is>
          <x:t xml:space="preserve">301</x:t>
        </x:is>
      </x:c>
      <x:c r="G28" s="6" t="str">
        <x:f>IF(OR(B28="Home",B28="Servicio",B28="Caso de estudio",B28="Blog"),"Alta",IF(OR(B28="Página",B28="Landing",B28="Talento"),"Media","Baja"))</x:f>
        <x:v>Media</x:v>
      </x:c>
      <x:c r="H28" s="9" t="inlineStr">
        <x:is>
          <x:t xml:space="preserve"/>
        </x:is>
      </x:c>
      <x:c r="I28" s="9" t="inlineStr">
        <x:is>
          <x:t xml:space="preserve">Pendiente</x:t>
        </x:is>
      </x:c>
      <x:c r="J28" s="9" t="inlineStr">
        <x:is>
          <x:t xml:space="preserve"/>
        </x:is>
      </x:c>
    </x:row>
    <x:row r="29">
      <x:c r="A29" s="7" t="inlineStr">
        <x:is>
          <x:t xml:space="preserve">https://interactius.com/casos-de-estudio/exito-freshperts/</x:t>
        </x:is>
      </x:c>
      <x:c r="B29" s="8" t="inlineStr">
        <x:is>
          <x:t xml:space="preserve">Caso de estudio</x:t>
        </x:is>
      </x:c>
      <x:c r="C29" s="8" t="inlineStr">
        <x:is>
          <x:t xml:space="preserve">Freshperts</x:t>
        </x:is>
      </x:c>
      <x:c r="D29" s="9" t="inlineStr">
        <x:is>
          <x:t xml:space="preserve"/>
        </x:is>
      </x:c>
      <x:c r="E29" s="9" t="inlineStr">
        <x:is>
          <x:t xml:space="preserve"/>
        </x:is>
      </x:c>
      <x:c r="F29" s="9" t="inlineStr">
        <x:is>
          <x:t xml:space="preserve">301</x:t>
        </x:is>
      </x:c>
      <x:c r="G29" s="6" t="str">
        <x:f>IF(OR(B29="Home",B29="Servicio",B29="Caso de estudio",B29="Blog"),"Alta",IF(OR(B29="Página",B29="Landing",B29="Talento"),"Media","Baja"))</x:f>
        <x:v>Alta</x:v>
      </x:c>
      <x:c r="H29" s="9" t="inlineStr">
        <x:is>
          <x:t xml:space="preserve"/>
        </x:is>
      </x:c>
      <x:c r="I29" s="9" t="inlineStr">
        <x:is>
          <x:t xml:space="preserve">Pendiente</x:t>
        </x:is>
      </x:c>
      <x:c r="J29" s="9" t="inlineStr">
        <x:is>
          <x:t xml:space="preserve"/>
        </x:is>
      </x:c>
    </x:row>
    <x:row r="30">
      <x:c r="A30" s="7" t="inlineStr">
        <x:is>
          <x:t xml:space="preserve">https://interactius.com/casos-de-estudio/exito-mediacoach/</x:t>
        </x:is>
      </x:c>
      <x:c r="B30" s="8" t="inlineStr">
        <x:is>
          <x:t xml:space="preserve">Caso de estudio</x:t>
        </x:is>
      </x:c>
      <x:c r="C30" s="8" t="inlineStr">
        <x:is>
          <x:t xml:space="preserve">Mediacoach</x:t>
        </x:is>
      </x:c>
      <x:c r="D30" s="9" t="inlineStr">
        <x:is>
          <x:t xml:space="preserve"/>
        </x:is>
      </x:c>
      <x:c r="E30" s="9" t="inlineStr">
        <x:is>
          <x:t xml:space="preserve"/>
        </x:is>
      </x:c>
      <x:c r="F30" s="9" t="inlineStr">
        <x:is>
          <x:t xml:space="preserve">301</x:t>
        </x:is>
      </x:c>
      <x:c r="G30" s="6" t="str">
        <x:f>IF(OR(B30="Home",B30="Servicio",B30="Caso de estudio",B30="Blog"),"Alta",IF(OR(B30="Página",B30="Landing",B30="Talento"),"Media","Baja"))</x:f>
        <x:v>Alta</x:v>
      </x:c>
      <x:c r="H30" s="9" t="inlineStr">
        <x:is>
          <x:t xml:space="preserve"/>
        </x:is>
      </x:c>
      <x:c r="I30" s="9" t="inlineStr">
        <x:is>
          <x:t xml:space="preserve">Pendiente</x:t>
        </x:is>
      </x:c>
      <x:c r="J30" s="9" t="inlineStr">
        <x:is>
          <x:t xml:space="preserve"/>
        </x:is>
      </x:c>
    </x:row>
    <x:row r="31">
      <x:c r="A31" s="7" t="inlineStr">
        <x:is>
          <x:t xml:space="preserve">https://interactius.com/case-study/case-qustodio/</x:t>
        </x:is>
      </x:c>
      <x:c r="B31" s="8" t="inlineStr">
        <x:is>
          <x:t xml:space="preserve">Caso de estudio</x:t>
        </x:is>
      </x:c>
      <x:c r="C31" s="8" t="inlineStr">
        <x:is>
          <x:t xml:space="preserve">Qustodio</x:t>
        </x:is>
      </x:c>
      <x:c r="D31" s="9" t="inlineStr">
        <x:is>
          <x:t xml:space="preserve"/>
        </x:is>
      </x:c>
      <x:c r="E31" s="9" t="inlineStr">
        <x:is>
          <x:t xml:space="preserve"/>
        </x:is>
      </x:c>
      <x:c r="F31" s="9" t="inlineStr">
        <x:is>
          <x:t xml:space="preserve">301</x:t>
        </x:is>
      </x:c>
      <x:c r="G31" s="6" t="str">
        <x:f>IF(OR(B31="Home",B31="Servicio",B31="Caso de estudio",B31="Blog"),"Alta",IF(OR(B31="Página",B31="Landing",B31="Talento"),"Media","Baja"))</x:f>
        <x:v>Alta</x:v>
      </x:c>
      <x:c r="H31" s="9" t="inlineStr">
        <x:is>
          <x:t xml:space="preserve"/>
        </x:is>
      </x:c>
      <x:c r="I31" s="9" t="inlineStr">
        <x:is>
          <x:t xml:space="preserve">Pendiente</x:t>
        </x:is>
      </x:c>
      <x:c r="J31" s="9" t="inlineStr">
        <x:is>
          <x:t xml:space="preserve"/>
        </x:is>
      </x:c>
    </x:row>
    <x:row r="32">
      <x:c r="A32" s="7" t="inlineStr">
        <x:is>
          <x:t xml:space="preserve">https://interactius.com/casos-de-estudio/exito-lanaccess/</x:t>
        </x:is>
      </x:c>
      <x:c r="B32" s="8" t="inlineStr">
        <x:is>
          <x:t xml:space="preserve">Caso de estudio</x:t>
        </x:is>
      </x:c>
      <x:c r="C32" s="8" t="inlineStr">
        <x:is>
          <x:t xml:space="preserve">Lanaccess</x:t>
        </x:is>
      </x:c>
      <x:c r="D32" s="9" t="inlineStr">
        <x:is>
          <x:t xml:space="preserve"/>
        </x:is>
      </x:c>
      <x:c r="E32" s="9" t="inlineStr">
        <x:is>
          <x:t xml:space="preserve"/>
        </x:is>
      </x:c>
      <x:c r="F32" s="9" t="inlineStr">
        <x:is>
          <x:t xml:space="preserve">301</x:t>
        </x:is>
      </x:c>
      <x:c r="G32" s="6" t="str">
        <x:f>IF(OR(B32="Home",B32="Servicio",B32="Caso de estudio",B32="Blog"),"Alta",IF(OR(B32="Página",B32="Landing",B32="Talento"),"Media","Baja"))</x:f>
        <x:v>Alta</x:v>
      </x:c>
      <x:c r="H32" s="9" t="inlineStr">
        <x:is>
          <x:t xml:space="preserve"/>
        </x:is>
      </x:c>
      <x:c r="I32" s="9" t="inlineStr">
        <x:is>
          <x:t xml:space="preserve">Pendiente</x:t>
        </x:is>
      </x:c>
      <x:c r="J32" s="9" t="inlineStr">
        <x:is>
          <x:t xml:space="preserve"/>
        </x:is>
      </x:c>
    </x:row>
    <x:row r="33">
      <x:c r="A33" s="7" t="inlineStr">
        <x:is>
          <x:t xml:space="preserve">https://interactius.com/casos-de-estudio/exito-ad360/</x:t>
        </x:is>
      </x:c>
      <x:c r="B33" s="8" t="inlineStr">
        <x:is>
          <x:t xml:space="preserve">Caso de estudio</x:t>
        </x:is>
      </x:c>
      <x:c r="C33" s="8" t="inlineStr">
        <x:is>
          <x:t xml:space="preserve">AD360</x:t>
        </x:is>
      </x:c>
      <x:c r="D33" s="9" t="inlineStr">
        <x:is>
          <x:t xml:space="preserve"/>
        </x:is>
      </x:c>
      <x:c r="E33" s="9" t="inlineStr">
        <x:is>
          <x:t xml:space="preserve"/>
        </x:is>
      </x:c>
      <x:c r="F33" s="9" t="inlineStr">
        <x:is>
          <x:t xml:space="preserve">301</x:t>
        </x:is>
      </x:c>
      <x:c r="G33" s="6" t="str">
        <x:f>IF(OR(B33="Home",B33="Servicio",B33="Caso de estudio",B33="Blog"),"Alta",IF(OR(B33="Página",B33="Landing",B33="Talento"),"Media","Baja"))</x:f>
        <x:v>Alta</x:v>
      </x:c>
      <x:c r="H33" s="9" t="inlineStr">
        <x:is>
          <x:t xml:space="preserve"/>
        </x:is>
      </x:c>
      <x:c r="I33" s="9" t="inlineStr">
        <x:is>
          <x:t xml:space="preserve">Pendiente</x:t>
        </x:is>
      </x:c>
      <x:c r="J33" s="9" t="inlineStr">
        <x:is>
          <x:t xml:space="preserve"/>
        </x:is>
      </x:c>
    </x:row>
    <x:row r="34">
      <x:c r="A34" s="7" t="inlineStr">
        <x:is>
          <x:t xml:space="preserve">https://interactius.com/casos-de-estudio/exito-next-us/</x:t>
        </x:is>
      </x:c>
      <x:c r="B34" s="8" t="inlineStr">
        <x:is>
          <x:t xml:space="preserve">Caso de estudio</x:t>
        </x:is>
      </x:c>
      <x:c r="C34" s="8" t="inlineStr">
        <x:is>
          <x:t xml:space="preserve">Next Us</x:t>
        </x:is>
      </x:c>
      <x:c r="D34" s="9" t="inlineStr">
        <x:is>
          <x:t xml:space="preserve"/>
        </x:is>
      </x:c>
      <x:c r="E34" s="9" t="inlineStr">
        <x:is>
          <x:t xml:space="preserve"/>
        </x:is>
      </x:c>
      <x:c r="F34" s="9" t="inlineStr">
        <x:is>
          <x:t xml:space="preserve">301</x:t>
        </x:is>
      </x:c>
      <x:c r="G34" s="6" t="str">
        <x:f>IF(OR(B34="Home",B34="Servicio",B34="Caso de estudio",B34="Blog"),"Alta",IF(OR(B34="Página",B34="Landing",B34="Talento"),"Media","Baja"))</x:f>
        <x:v>Alta</x:v>
      </x:c>
      <x:c r="H34" s="9" t="inlineStr">
        <x:is>
          <x:t xml:space="preserve"/>
        </x:is>
      </x:c>
      <x:c r="I34" s="9" t="inlineStr">
        <x:is>
          <x:t xml:space="preserve">Pendiente</x:t>
        </x:is>
      </x:c>
      <x:c r="J34" s="9" t="inlineStr">
        <x:is>
          <x:t xml:space="preserve"/>
        </x:is>
      </x:c>
    </x:row>
    <x:row r="35">
      <x:c r="A35" s="7" t="inlineStr">
        <x:is>
          <x:t xml:space="preserve">https://interactius.com/ia/el-proceso-de-diseno-tradicional-esta-muerto-el-nuevo-rol-del-disenador-segun-anthropic/</x:t>
        </x:is>
      </x:c>
      <x:c r="B35" s="8" t="inlineStr">
        <x:is>
          <x:t xml:space="preserve">Blog</x:t>
        </x:is>
      </x:c>
      <x:c r="C35" s="8" t="inlineStr">
        <x:is>
          <x:t xml:space="preserve">El proceso de diseño tradicional está muerto</x:t>
        </x:is>
      </x:c>
      <x:c r="D35" s="9" t="inlineStr">
        <x:is>
          <x:t xml:space="preserve"/>
        </x:is>
      </x:c>
      <x:c r="E35" s="9" t="inlineStr">
        <x:is>
          <x:t xml:space="preserve"/>
        </x:is>
      </x:c>
      <x:c r="F35" s="9" t="inlineStr">
        <x:is>
          <x:t xml:space="preserve">301</x:t>
        </x:is>
      </x:c>
      <x:c r="G35" s="6" t="str">
        <x:f>IF(OR(B35="Home",B35="Servicio",B35="Caso de estudio",B35="Blog"),"Alta",IF(OR(B35="Página",B35="Landing",B35="Talento"),"Media","Baja"))</x:f>
        <x:v>Alta</x:v>
      </x:c>
      <x:c r="H35" s="9" t="inlineStr">
        <x:is>
          <x:t xml:space="preserve"/>
        </x:is>
      </x:c>
      <x:c r="I35" s="9" t="inlineStr">
        <x:is>
          <x:t xml:space="preserve">Pendiente</x:t>
        </x:is>
      </x:c>
      <x:c r="J35" s="9" t="inlineStr">
        <x:is>
          <x:t xml:space="preserve"/>
        </x:is>
      </x:c>
    </x:row>
    <x:row r="36">
      <x:c r="A36" s="7" t="inlineStr">
        <x:is>
          <x:t xml:space="preserve">https://interactius.com/ia/el-diseno-ux-y-de-producto-entro-en-una-nueva-era-conversacion-con-antonio-diaz-cueto/</x:t>
        </x:is>
      </x:c>
      <x:c r="B36" s="8" t="inlineStr">
        <x:is>
          <x:t xml:space="preserve">Blog</x:t>
        </x:is>
      </x:c>
      <x:c r="C36" s="8" t="inlineStr">
        <x:is>
          <x:t xml:space="preserve">El Diseño UX y de producto entró en una nueva era</x:t>
        </x:is>
      </x:c>
      <x:c r="D36" s="9" t="inlineStr">
        <x:is>
          <x:t xml:space="preserve"/>
        </x:is>
      </x:c>
      <x:c r="E36" s="9" t="inlineStr">
        <x:is>
          <x:t xml:space="preserve"/>
        </x:is>
      </x:c>
      <x:c r="F36" s="9" t="inlineStr">
        <x:is>
          <x:t xml:space="preserve">301</x:t>
        </x:is>
      </x:c>
      <x:c r="G36" s="6" t="str">
        <x:f>IF(OR(B36="Home",B36="Servicio",B36="Caso de estudio",B36="Blog"),"Alta",IF(OR(B36="Página",B36="Landing",B36="Talento"),"Media","Baja"))</x:f>
        <x:v>Alta</x:v>
      </x:c>
      <x:c r="H36" s="9" t="inlineStr">
        <x:is>
          <x:t xml:space="preserve"/>
        </x:is>
      </x:c>
      <x:c r="I36" s="9" t="inlineStr">
        <x:is>
          <x:t xml:space="preserve">Pendiente</x:t>
        </x:is>
      </x:c>
      <x:c r="J36" s="9" t="inlineStr">
        <x:is>
          <x:t xml:space="preserve"/>
        </x:is>
      </x:c>
    </x:row>
    <x:row r="37">
      <x:c r="A37" s="7" t="inlineStr">
        <x:is>
          <x:t xml:space="preserve">https://interactius.com/estrategia/prospectiva-estrategica-de-la-incertidumbre-a-la-accion/</x:t>
        </x:is>
      </x:c>
      <x:c r="B37" s="8" t="inlineStr">
        <x:is>
          <x:t xml:space="preserve">Blog</x:t>
        </x:is>
      </x:c>
      <x:c r="C37" s="8" t="inlineStr">
        <x:is>
          <x:t xml:space="preserve">Prospectiva Estratégica: De la Incertidumbre a la Acción</x:t>
        </x:is>
      </x:c>
      <x:c r="D37" s="9" t="inlineStr">
        <x:is>
          <x:t xml:space="preserve"/>
        </x:is>
      </x:c>
      <x:c r="E37" s="9" t="inlineStr">
        <x:is>
          <x:t xml:space="preserve"/>
        </x:is>
      </x:c>
      <x:c r="F37" s="9" t="inlineStr">
        <x:is>
          <x:t xml:space="preserve">301</x:t>
        </x:is>
      </x:c>
      <x:c r="G37" s="6" t="str">
        <x:f>IF(OR(B37="Home",B37="Servicio",B37="Caso de estudio",B37="Blog"),"Alta",IF(OR(B37="Página",B37="Landing",B37="Talento"),"Media","Baja"))</x:f>
        <x:v>Alta</x:v>
      </x:c>
      <x:c r="H37" s="9" t="inlineStr">
        <x:is>
          <x:t xml:space="preserve"/>
        </x:is>
      </x:c>
      <x:c r="I37" s="9" t="inlineStr">
        <x:is>
          <x:t xml:space="preserve">Pendiente</x:t>
        </x:is>
      </x:c>
      <x:c r="J37" s="9" t="inlineStr">
        <x:is>
          <x:t xml:space="preserve"/>
        </x:is>
      </x:c>
    </x:row>
    <x:row r="38">
      <x:c r="A38" s="7" t="inlineStr">
        <x:is>
          <x:t xml:space="preserve">https://interactius.com/ia/el-nuevo-rol-del-product-designer-en-la-era-del-vibe-coding/</x:t>
        </x:is>
      </x:c>
      <x:c r="B38" s="8" t="inlineStr">
        <x:is>
          <x:t xml:space="preserve">Blog</x:t>
        </x:is>
      </x:c>
      <x:c r="C38" s="8" t="inlineStr">
        <x:is>
          <x:t xml:space="preserve">El nuevo rol del Product Designer en la era del Vibe Coding</x:t>
        </x:is>
      </x:c>
      <x:c r="D38" s="9" t="inlineStr">
        <x:is>
          <x:t xml:space="preserve"/>
        </x:is>
      </x:c>
      <x:c r="E38" s="9" t="inlineStr">
        <x:is>
          <x:t xml:space="preserve"/>
        </x:is>
      </x:c>
      <x:c r="F38" s="9" t="inlineStr">
        <x:is>
          <x:t xml:space="preserve">301</x:t>
        </x:is>
      </x:c>
      <x:c r="G38" s="6" t="str">
        <x:f>IF(OR(B38="Home",B38="Servicio",B38="Caso de estudio",B38="Blog"),"Alta",IF(OR(B38="Página",B38="Landing",B38="Talento"),"Media","Baja"))</x:f>
        <x:v>Alta</x:v>
      </x:c>
      <x:c r="H38" s="9" t="inlineStr">
        <x:is>
          <x:t xml:space="preserve"/>
        </x:is>
      </x:c>
      <x:c r="I38" s="9" t="inlineStr">
        <x:is>
          <x:t xml:space="preserve">Pendiente</x:t>
        </x:is>
      </x:c>
      <x:c r="J38" s="9" t="inlineStr">
        <x:is>
          <x:t xml:space="preserve"/>
        </x:is>
      </x:c>
    </x:row>
    <x:row r="39">
      <x:c r="A39" s="7" t="inlineStr">
        <x:is>
          <x:t xml:space="preserve">https://interactius.com/ia/la-ia-ya-no-es-la-ventaja-competitiva/</x:t>
        </x:is>
      </x:c>
      <x:c r="B39" s="8" t="inlineStr">
        <x:is>
          <x:t xml:space="preserve">Blog</x:t>
        </x:is>
      </x:c>
      <x:c r="C39" s="8" t="inlineStr">
        <x:is>
          <x:t xml:space="preserve">La IA ya no es la ventaja competitiva</x:t>
        </x:is>
      </x:c>
      <x:c r="D39" s="9" t="inlineStr">
        <x:is>
          <x:t xml:space="preserve"/>
        </x:is>
      </x:c>
      <x:c r="E39" s="9" t="inlineStr">
        <x:is>
          <x:t xml:space="preserve"/>
        </x:is>
      </x:c>
      <x:c r="F39" s="9" t="inlineStr">
        <x:is>
          <x:t xml:space="preserve">301</x:t>
        </x:is>
      </x:c>
      <x:c r="G39" s="6" t="str">
        <x:f>IF(OR(B39="Home",B39="Servicio",B39="Caso de estudio",B39="Blog"),"Alta",IF(OR(B39="Página",B39="Landing",B39="Talento"),"Media","Baja"))</x:f>
        <x:v>Alta</x:v>
      </x:c>
      <x:c r="H39" s="9" t="inlineStr">
        <x:is>
          <x:t xml:space="preserve"/>
        </x:is>
      </x:c>
      <x:c r="I39" s="9" t="inlineStr">
        <x:is>
          <x:t xml:space="preserve">Pendiente</x:t>
        </x:is>
      </x:c>
      <x:c r="J39" s="9" t="inlineStr">
        <x:is>
          <x:t xml:space="preserve"/>
        </x:is>
      </x:c>
    </x:row>
    <x:row r="40">
      <x:c r="A40" s="7" t="inlineStr">
        <x:is>
          <x:t xml:space="preserve">https://interactius.com/ia/ux-research-con-ia-investigar-antes-decidir-mejor-generar-impacto/</x:t>
        </x:is>
      </x:c>
      <x:c r="B40" s="8" t="inlineStr">
        <x:is>
          <x:t xml:space="preserve">Blog</x:t>
        </x:is>
      </x:c>
      <x:c r="C40" s="8" t="inlineStr">
        <x:is>
          <x:t xml:space="preserve">UX Research con IA: investigar antes, decidir mejor, generar impacto</x:t>
        </x:is>
      </x:c>
      <x:c r="D40" s="9" t="inlineStr">
        <x:is>
          <x:t xml:space="preserve"/>
        </x:is>
      </x:c>
      <x:c r="E40" s="9" t="inlineStr">
        <x:is>
          <x:t xml:space="preserve"/>
        </x:is>
      </x:c>
      <x:c r="F40" s="9" t="inlineStr">
        <x:is>
          <x:t xml:space="preserve">301</x:t>
        </x:is>
      </x:c>
      <x:c r="G40" s="6" t="str">
        <x:f>IF(OR(B40="Home",B40="Servicio",B40="Caso de estudio",B40="Blog"),"Alta",IF(OR(B40="Página",B40="Landing",B40="Talento"),"Media","Baja"))</x:f>
        <x:v>Alta</x:v>
      </x:c>
      <x:c r="H40" s="9" t="inlineStr">
        <x:is>
          <x:t xml:space="preserve"/>
        </x:is>
      </x:c>
      <x:c r="I40" s="9" t="inlineStr">
        <x:is>
          <x:t xml:space="preserve">Pendiente</x:t>
        </x:is>
      </x:c>
      <x:c r="J40" s="9" t="inlineStr">
        <x:is>
          <x:t xml:space="preserve"/>
        </x:is>
      </x:c>
    </x:row>
    <x:row r="41">
      <x:c r="A41" s="7" t="inlineStr">
        <x:is>
          <x:t xml:space="preserve">https://interactius.com/ia/clonica-no-es-magia-es-research-con-ia-asi-trabajamos-con-usuarios-sinteticos/</x:t>
        </x:is>
      </x:c>
      <x:c r="B41" s="8" t="inlineStr">
        <x:is>
          <x:t xml:space="preserve">Blog</x:t>
        </x:is>
      </x:c>
      <x:c r="C41" s="8" t="inlineStr">
        <x:is>
          <x:t xml:space="preserve">Clonica: así trabajamos con usuarios sintéticos</x:t>
        </x:is>
      </x:c>
      <x:c r="D41" s="9" t="inlineStr">
        <x:is>
          <x:t xml:space="preserve"/>
        </x:is>
      </x:c>
      <x:c r="E41" s="9" t="inlineStr">
        <x:is>
          <x:t xml:space="preserve"/>
        </x:is>
      </x:c>
      <x:c r="F41" s="9" t="inlineStr">
        <x:is>
          <x:t xml:space="preserve">301</x:t>
        </x:is>
      </x:c>
      <x:c r="G41" s="6" t="str">
        <x:f>IF(OR(B41="Home",B41="Servicio",B41="Caso de estudio",B41="Blog"),"Alta",IF(OR(B41="Página",B41="Landing",B41="Talento"),"Media","Baja"))</x:f>
        <x:v>Alta</x:v>
      </x:c>
      <x:c r="H41" s="9" t="inlineStr">
        <x:is>
          <x:t xml:space="preserve"/>
        </x:is>
      </x:c>
      <x:c r="I41" s="9" t="inlineStr">
        <x:is>
          <x:t xml:space="preserve">Pendiente</x:t>
        </x:is>
      </x:c>
      <x:c r="J41" s="9" t="inlineStr">
        <x:is>
          <x:t xml:space="preserve"/>
        </x:is>
      </x:c>
    </x:row>
    <x:row r="42">
      <x:c r="A42" s="7" t="inlineStr">
        <x:is>
          <x:t xml:space="preserve">https://interactius.com/design/manifiesto-rebel-el-archivo-vivo-de-voces-que-piden-un-diseno-mas-humano/</x:t>
        </x:is>
      </x:c>
      <x:c r="B42" s="8" t="inlineStr">
        <x:is>
          <x:t xml:space="preserve">Blog</x:t>
        </x:is>
      </x:c>
      <x:c r="C42" s="8" t="inlineStr">
        <x:is>
          <x:t xml:space="preserve">Manifiesto Rebel</x:t>
        </x:is>
      </x:c>
      <x:c r="D42" s="9" t="inlineStr">
        <x:is>
          <x:t xml:space="preserve"/>
        </x:is>
      </x:c>
      <x:c r="E42" s="9" t="inlineStr">
        <x:is>
          <x:t xml:space="preserve"/>
        </x:is>
      </x:c>
      <x:c r="F42" s="9" t="inlineStr">
        <x:is>
          <x:t xml:space="preserve">301</x:t>
        </x:is>
      </x:c>
      <x:c r="G42" s="6" t="str">
        <x:f>IF(OR(B42="Home",B42="Servicio",B42="Caso de estudio",B42="Blog"),"Alta",IF(OR(B42="Página",B42="Landing",B42="Talento"),"Media","Baja"))</x:f>
        <x:v>Alta</x:v>
      </x:c>
      <x:c r="H42" s="9" t="inlineStr">
        <x:is>
          <x:t xml:space="preserve"/>
        </x:is>
      </x:c>
      <x:c r="I42" s="9" t="inlineStr">
        <x:is>
          <x:t xml:space="preserve">Pendiente</x:t>
        </x:is>
      </x:c>
      <x:c r="J42" s="9" t="inlineStr">
        <x:is>
          <x:t xml:space="preserve"/>
        </x:is>
      </x:c>
    </x:row>
    <x:row r="43">
      <x:c r="A43" s="7" t="inlineStr">
        <x:is>
          <x:t xml:space="preserve">https://interactius.com/design/del-designops-a-la-accesibilidad-y-la-ia-conversacion-con-raul-luque-ibm/</x:t>
        </x:is>
      </x:c>
      <x:c r="B43" s="8" t="inlineStr">
        <x:is>
          <x:t xml:space="preserve">Blog</x:t>
        </x:is>
      </x:c>
      <x:c r="C43" s="8" t="inlineStr">
        <x:is>
          <x:t xml:space="preserve">Del DesignOps a la Accesibilidad y la IA</x:t>
        </x:is>
      </x:c>
      <x:c r="D43" s="9" t="inlineStr">
        <x:is>
          <x:t xml:space="preserve"/>
        </x:is>
      </x:c>
      <x:c r="E43" s="9" t="inlineStr">
        <x:is>
          <x:t xml:space="preserve"/>
        </x:is>
      </x:c>
      <x:c r="F43" s="9" t="inlineStr">
        <x:is>
          <x:t xml:space="preserve">301</x:t>
        </x:is>
      </x:c>
      <x:c r="G43" s="6" t="str">
        <x:f>IF(OR(B43="Home",B43="Servicio",B43="Caso de estudio",B43="Blog"),"Alta",IF(OR(B43="Página",B43="Landing",B43="Talento"),"Media","Baja"))</x:f>
        <x:v>Alta</x:v>
      </x:c>
      <x:c r="H43" s="9" t="inlineStr">
        <x:is>
          <x:t xml:space="preserve"/>
        </x:is>
      </x:c>
      <x:c r="I43" s="9" t="inlineStr">
        <x:is>
          <x:t xml:space="preserve">Pendiente</x:t>
        </x:is>
      </x:c>
      <x:c r="J43" s="9" t="inlineStr">
        <x:is>
          <x:t xml:space="preserve"/>
        </x:is>
      </x:c>
    </x:row>
    <x:row r="44">
      <x:c r="A44" s="7" t="inlineStr">
        <x:is>
          <x:t xml:space="preserve">https://interactius.com/ia/human-first-next-ai-de-humano-a-humano-despues-la-ia/</x:t>
        </x:is>
      </x:c>
      <x:c r="B44" s="8" t="inlineStr">
        <x:is>
          <x:t xml:space="preserve">Blog</x:t>
        </x:is>
      </x:c>
      <x:c r="C44" s="8" t="inlineStr">
        <x:is>
          <x:t xml:space="preserve">Human First, Next AI</x:t>
        </x:is>
      </x:c>
      <x:c r="D44" s="9" t="inlineStr">
        <x:is>
          <x:t xml:space="preserve"/>
        </x:is>
      </x:c>
      <x:c r="E44" s="9" t="inlineStr">
        <x:is>
          <x:t xml:space="preserve"/>
        </x:is>
      </x:c>
      <x:c r="F44" s="9" t="inlineStr">
        <x:is>
          <x:t xml:space="preserve">301</x:t>
        </x:is>
      </x:c>
      <x:c r="G44" s="6" t="str">
        <x:f>IF(OR(B44="Home",B44="Servicio",B44="Caso de estudio",B44="Blog"),"Alta",IF(OR(B44="Página",B44="Landing",B44="Talento"),"Media","Baja"))</x:f>
        <x:v>Alta</x:v>
      </x:c>
      <x:c r="H44" s="9" t="inlineStr">
        <x:is>
          <x:t xml:space="preserve"/>
        </x:is>
      </x:c>
      <x:c r="I44" s="9" t="inlineStr">
        <x:is>
          <x:t xml:space="preserve">Pendiente</x:t>
        </x:is>
      </x:c>
      <x:c r="J44" s="9" t="inlineStr">
        <x:is>
          <x:t xml:space="preserve"/>
        </x:is>
      </x:c>
    </x:row>
    <x:row r="45">
      <x:c r="A45" s="7" t="inlineStr">
        <x:is>
          <x:t xml:space="preserve">https://interactius.com/aviso-legal/</x:t>
        </x:is>
      </x:c>
      <x:c r="B45" s="8" t="inlineStr">
        <x:is>
          <x:t xml:space="preserve">Legal</x:t>
        </x:is>
      </x:c>
      <x:c r="C45" s="8" t="inlineStr">
        <x:is>
          <x:t xml:space="preserve">Aviso Legal</x:t>
        </x:is>
      </x:c>
      <x:c r="D45" s="9" t="inlineStr">
        <x:is>
          <x:t xml:space="preserve"/>
        </x:is>
      </x:c>
      <x:c r="E45" s="9" t="inlineStr">
        <x:is>
          <x:t xml:space="preserve"/>
        </x:is>
      </x:c>
      <x:c r="F45" s="9" t="inlineStr">
        <x:is>
          <x:t xml:space="preserve">301</x:t>
        </x:is>
      </x:c>
      <x:c r="G45" s="6" t="str">
        <x:f>IF(OR(B45="Home",B45="Servicio",B45="Caso de estudio",B45="Blog"),"Alta",IF(OR(B45="Página",B45="Landing",B45="Talento"),"Media","Baja"))</x:f>
        <x:v>Baja</x:v>
      </x:c>
      <x:c r="H45" s="9" t="inlineStr">
        <x:is>
          <x:t xml:space="preserve"/>
        </x:is>
      </x:c>
      <x:c r="I45" s="9" t="inlineStr">
        <x:is>
          <x:t xml:space="preserve">Pendiente</x:t>
        </x:is>
      </x:c>
      <x:c r="J45" s="9" t="inlineStr">
        <x:is>
          <x:t xml:space="preserve"/>
        </x:is>
      </x:c>
    </x:row>
    <x:row r="46">
      <x:c r="A46" s="7" t="inlineStr">
        <x:is>
          <x:t xml:space="preserve">https://interactius.com/equipo-ux/empleo-ux/</x:t>
        </x:is>
      </x:c>
      <x:c r="B46" s="8" t="inlineStr">
        <x:is>
          <x:t xml:space="preserve">Talento</x:t>
        </x:is>
      </x:c>
      <x:c r="C46" s="8" t="inlineStr">
        <x:is>
          <x:t xml:space="preserve">Empleo UX</x:t>
        </x:is>
      </x:c>
      <x:c r="D46" s="9" t="inlineStr">
        <x:is>
          <x:t xml:space="preserve"/>
        </x:is>
      </x:c>
      <x:c r="E46" s="9" t="inlineStr">
        <x:is>
          <x:t xml:space="preserve"/>
        </x:is>
      </x:c>
      <x:c r="F46" s="9" t="inlineStr">
        <x:is>
          <x:t xml:space="preserve">301</x:t>
        </x:is>
      </x:c>
      <x:c r="G46" s="6" t="str">
        <x:f>IF(OR(B46="Home",B46="Servicio",B46="Caso de estudio",B46="Blog"),"Alta",IF(OR(B46="Página",B46="Landing",B46="Talento"),"Media","Baja"))</x:f>
        <x:v>Media</x:v>
      </x:c>
      <x:c r="H46" s="9" t="inlineStr">
        <x:is>
          <x:t xml:space="preserve"/>
        </x:is>
      </x:c>
      <x:c r="I46" s="9" t="inlineStr">
        <x:is>
          <x:t xml:space="preserve">Pendiente</x:t>
        </x:is>
      </x:c>
      <x:c r="J46" s="9" t="inlineStr">
        <x:is>
          <x:t xml:space="preserve"/>
        </x:is>
      </x:c>
    </x:row>
  </x:sheetData>
  <x:dataValidations count="4">
    <x:dataValidation type="list" allowBlank="1" showDropDown="0" showInputMessage="0" showErrorMessage="0" sqref="E2:E46">
      <x:formula1>"Exacta,Cercana,Categoría,No redirigir"</x:formula1>
    </x:dataValidation>
    <x:dataValidation type="list" allowBlank="1" showDropDown="0" showInputMessage="0" showErrorMessage="0" sqref="F2:F46">
      <x:formula1>"301,302,404,410,Pendiente"</x:formula1>
    </x:dataValidation>
    <x:dataValidation type="list" allowBlank="1" showDropDown="0" showInputMessage="0" showErrorMessage="0" sqref="I2:I46">
      <x:formula1>"Pendiente,Listo,Validado"</x:formula1>
    </x:dataValidation>
    <x:dataValidation type="list" allowBlank="1" showDropDown="0" showInputMessage="0" showErrorMessage="0" sqref="H2:H46">
      <x:formula1>"SEO,Contenido,Producto,Tecnología"</x:formula1>
    </x:dataValidation>
  </x:dataValidations>
  <x:pageMargins left="0.7" right="0.7" top="0.75" bottom="0.75" header="0.3" footer="0.3"/>
  <x:legacyDrawing xmlns:r="http://schemas.openxmlformats.org/officeDocument/2006/relationships" r:id="Rd208759d009e4b79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5" customWidth="1"/>
    <x:col min="2" max="2" width="55" customWidth="1"/>
    <x:col min="3" max="3" width="18" customWidth="1"/>
    <x:col min="4" max="4" width="10" customWidth="1"/>
    <x:col min="5" max="5" width="18" customWidth="1"/>
    <x:col min="6" max="6" width="12" customWidth="1"/>
    <x:col min="7" max="7" width="34" customWidth="1"/>
    <x:col min="8" max="8" width="32" customWidth="1"/>
  </x:cols>
  <x:sheetData>
    <x:row r="1">
      <x:c r="A1" s="2" t="inlineStr">
        <x:is>
          <x:t xml:space="preserve">URL origen legacy</x:t>
        </x:is>
      </x:c>
      <x:c r="B1" s="2" t="inlineStr">
        <x:is>
          <x:t xml:space="preserve">URL destino observada</x:t>
        </x:is>
      </x:c>
      <x:c r="C1" s="2" t="inlineStr">
        <x:is>
          <x:t xml:space="preserve">Estado observado</x:t>
        </x:is>
      </x:c>
      <x:c r="D1" s="2" t="inlineStr">
        <x:is>
          <x:t xml:space="preserve">HTTP</x:t>
        </x:is>
      </x:c>
      <x:c r="E1" s="2" t="inlineStr">
        <x:is>
          <x:t xml:space="preserve">Tipo</x:t>
        </x:is>
      </x:c>
      <x:c r="F1" s="2" t="inlineStr">
        <x:is>
          <x:t xml:space="preserve">Prioridad</x:t>
        </x:is>
      </x:c>
      <x:c r="G1" s="2" t="inlineStr">
        <x:is>
          <x:t xml:space="preserve">Acción recomendada</x:t>
        </x:is>
      </x:c>
      <x:c r="H1" s="2" t="inlineStr">
        <x:is>
          <x:t xml:space="preserve">Fuente pública</x:t>
        </x:is>
      </x:c>
    </x:row>
    <x:row r="2">
      <x:c r="A2" s="10" t="inlineStr">
        <x:is>
          <x:t xml:space="preserve">https://interactius.com/case-study/</x:t>
        </x:is>
      </x:c>
      <x:c r="B2" s="10" t="inlineStr">
        <x:is>
          <x:t xml:space="preserve">https://interactius.com/casos-de-estudio/</x:t>
        </x:is>
      </x:c>
      <x:c r="C2" s="11" t="inlineStr">
        <x:is>
          <x:t xml:space="preserve">Redirect observado</x:t>
        </x:is>
      </x:c>
      <x:c r="D2" s="9" t="inlineStr">
        <x:is>
          <x:t xml:space="preserve">Pendiente</x:t>
        </x:is>
      </x:c>
      <x:c r="E2" s="11" t="inlineStr">
        <x:is>
          <x:t xml:space="preserve">Arquitectura de URLs</x:t>
        </x:is>
      </x:c>
      <x:c r="F2" s="11" t="inlineStr">
        <x:is>
          <x:t xml:space="preserve">Alta</x:t>
        </x:is>
      </x:c>
      <x:c r="G2" s="11" t="inlineStr">
        <x:is>
          <x:t xml:space="preserve">Actualizar enlaces internos y usar esta URL como canonical</x:t>
        </x:is>
      </x:c>
      <x:c r="H2" s="10" t="inlineStr">
        <x:is>
          <x:t xml:space="preserve">https://interactius.com/casos-de-estudio/</x:t>
        </x:is>
      </x:c>
    </x:row>
    <x:row r="3">
      <x:c r="A3" s="10" t="inlineStr">
        <x:is>
          <x:t xml:space="preserve">https://interactius.com/case-study/case-freshperts/</x:t>
        </x:is>
      </x:c>
      <x:c r="B3" s="10" t="inlineStr">
        <x:is>
          <x:t xml:space="preserve">https://interactius.com/casos-de-estudio/exito-freshperts/</x:t>
        </x:is>
      </x:c>
      <x:c r="C3" s="11" t="inlineStr">
        <x:is>
          <x:t xml:space="preserve">Redirect observado</x:t>
        </x:is>
      </x:c>
      <x:c r="D3" s="9" t="inlineStr">
        <x:is>
          <x:t xml:space="preserve">Pendiente</x:t>
        </x:is>
      </x:c>
      <x:c r="E3" s="11" t="inlineStr">
        <x:is>
          <x:t xml:space="preserve">Caso de estudio</x:t>
        </x:is>
      </x:c>
      <x:c r="F3" s="11" t="inlineStr">
        <x:is>
          <x:t xml:space="preserve">Alta</x:t>
        </x:is>
      </x:c>
      <x:c r="G3" s="11" t="inlineStr">
        <x:is>
          <x:t xml:space="preserve">Mapear 301 definitivo si se migra el contenido</x:t>
        </x:is>
      </x:c>
      <x:c r="H3" s="10" t="inlineStr">
        <x:is>
          <x:t xml:space="preserve">https://interactius.com/casos-de-estudio/exito-freshperts/</x:t>
        </x:is>
      </x:c>
    </x:row>
    <x:row r="4">
      <x:c r="A4" s="10" t="inlineStr">
        <x:is>
          <x:t xml:space="preserve">https://interactius.com/case-study/case-mediacoach/</x:t>
        </x:is>
      </x:c>
      <x:c r="B4" s="10" t="inlineStr">
        <x:is>
          <x:t xml:space="preserve">https://interactius.com/casos-de-estudio/exito-mediacoach/</x:t>
        </x:is>
      </x:c>
      <x:c r="C4" s="11" t="inlineStr">
        <x:is>
          <x:t xml:space="preserve">Redirect observado</x:t>
        </x:is>
      </x:c>
      <x:c r="D4" s="9" t="inlineStr">
        <x:is>
          <x:t xml:space="preserve">Pendiente</x:t>
        </x:is>
      </x:c>
      <x:c r="E4" s="11" t="inlineStr">
        <x:is>
          <x:t xml:space="preserve">Caso de estudio</x:t>
        </x:is>
      </x:c>
      <x:c r="F4" s="11" t="inlineStr">
        <x:is>
          <x:t xml:space="preserve">Alta</x:t>
        </x:is>
      </x:c>
      <x:c r="G4" s="11" t="inlineStr">
        <x:is>
          <x:t xml:space="preserve">Mapear 301 definitivo si se migra el contenido</x:t>
        </x:is>
      </x:c>
      <x:c r="H4" s="10" t="inlineStr">
        <x:is>
          <x:t xml:space="preserve">https://interactius.com/casos-de-estudio/exito-mediacoach/</x:t>
        </x:is>
      </x:c>
    </x:row>
    <x:row r="5">
      <x:c r="A5" s="10" t="inlineStr">
        <x:is>
          <x:t xml:space="preserve">https://interactius.com/case-study/case-lanaccess/</x:t>
        </x:is>
      </x:c>
      <x:c r="B5" s="10" t="inlineStr">
        <x:is>
          <x:t xml:space="preserve">https://interactius.com/casos-de-estudio/exito-lanaccess/</x:t>
        </x:is>
      </x:c>
      <x:c r="C5" s="11" t="inlineStr">
        <x:is>
          <x:t xml:space="preserve">Redirect observado</x:t>
        </x:is>
      </x:c>
      <x:c r="D5" s="9" t="inlineStr">
        <x:is>
          <x:t xml:space="preserve">Pendiente</x:t>
        </x:is>
      </x:c>
      <x:c r="E5" s="11" t="inlineStr">
        <x:is>
          <x:t xml:space="preserve">Caso de estudio</x:t>
        </x:is>
      </x:c>
      <x:c r="F5" s="11" t="inlineStr">
        <x:is>
          <x:t xml:space="preserve">Alta</x:t>
        </x:is>
      </x:c>
      <x:c r="G5" s="11" t="inlineStr">
        <x:is>
          <x:t xml:space="preserve">Mapear 301 definitivo si se migra el contenido</x:t>
        </x:is>
      </x:c>
      <x:c r="H5" s="10" t="inlineStr">
        <x:is>
          <x:t xml:space="preserve">https://interactius.com/casos-de-estudio/exito-lanaccess/</x:t>
        </x:is>
      </x:c>
    </x:row>
    <x:row r="6">
      <x:c r="A6" s="10" t="inlineStr">
        <x:is>
          <x:t xml:space="preserve">https://interactius.com/case-study/case-ad360/</x:t>
        </x:is>
      </x:c>
      <x:c r="B6" s="10" t="inlineStr">
        <x:is>
          <x:t xml:space="preserve">https://interactius.com/casos-de-estudio/exito-ad360/</x:t>
        </x:is>
      </x:c>
      <x:c r="C6" s="11" t="inlineStr">
        <x:is>
          <x:t xml:space="preserve">Redirect observado</x:t>
        </x:is>
      </x:c>
      <x:c r="D6" s="9" t="inlineStr">
        <x:is>
          <x:t xml:space="preserve">Pendiente</x:t>
        </x:is>
      </x:c>
      <x:c r="E6" s="11" t="inlineStr">
        <x:is>
          <x:t xml:space="preserve">Caso de estudio</x:t>
        </x:is>
      </x:c>
      <x:c r="F6" s="11" t="inlineStr">
        <x:is>
          <x:t xml:space="preserve">Alta</x:t>
        </x:is>
      </x:c>
      <x:c r="G6" s="11" t="inlineStr">
        <x:is>
          <x:t xml:space="preserve">Mapear 301 definitivo si se migra el contenido</x:t>
        </x:is>
      </x:c>
      <x:c r="H6" s="10" t="inlineStr">
        <x:is>
          <x:t xml:space="preserve">https://interactius.com/casos-de-estudio/exito-ad360/</x:t>
        </x:is>
      </x:c>
    </x:row>
    <x:row r="7">
      <x:c r="A7" s="10" t="inlineStr">
        <x:is>
          <x:t xml:space="preserve">https://interactius.com/case-study/case-next-us/</x:t>
        </x:is>
      </x:c>
      <x:c r="B7" s="10" t="inlineStr">
        <x:is>
          <x:t xml:space="preserve">https://interactius.com/casos-de-estudio/exito-next-us/</x:t>
        </x:is>
      </x:c>
      <x:c r="C7" s="11" t="inlineStr">
        <x:is>
          <x:t xml:space="preserve">Redirect observado</x:t>
        </x:is>
      </x:c>
      <x:c r="D7" s="9" t="inlineStr">
        <x:is>
          <x:t xml:space="preserve">Pendiente</x:t>
        </x:is>
      </x:c>
      <x:c r="E7" s="11" t="inlineStr">
        <x:is>
          <x:t xml:space="preserve">Caso de estudio</x:t>
        </x:is>
      </x:c>
      <x:c r="F7" s="11" t="inlineStr">
        <x:is>
          <x:t xml:space="preserve">Alta</x:t>
        </x:is>
      </x:c>
      <x:c r="G7" s="11" t="inlineStr">
        <x:is>
          <x:t xml:space="preserve">Mapear 301 definitivo si se migra el contenido</x:t>
        </x:is>
      </x:c>
      <x:c r="H7" s="10" t="inlineStr">
        <x:is>
          <x:t xml:space="preserve">https://interactius.com/casos-de-estudio/exito-next-us/</x:t>
        </x:is>
      </x:c>
    </x:row>
    <x:row r="8">
      <x:c r="A8" s="10" t="inlineStr">
        <x:is>
          <x:t xml:space="preserve">https://interactius.com/servicios/uxaas/</x:t>
        </x:is>
      </x:c>
      <x:c r="B8" s="10" t="inlineStr">
        <x:is>
          <x:t xml:space="preserve">https://interactius.com/servicios/ux-as-a-service/</x:t>
        </x:is>
      </x:c>
      <x:c r="C8" s="11" t="inlineStr">
        <x:is>
          <x:t xml:space="preserve">Redirect observado</x:t>
        </x:is>
      </x:c>
      <x:c r="D8" s="9" t="inlineStr">
        <x:is>
          <x:t xml:space="preserve">Pendiente</x:t>
        </x:is>
      </x:c>
      <x:c r="E8" s="11" t="inlineStr">
        <x:is>
          <x:t xml:space="preserve">Servicio</x:t>
        </x:is>
      </x:c>
      <x:c r="F8" s="11" t="inlineStr">
        <x:is>
          <x:t xml:space="preserve">Alta</x:t>
        </x:is>
      </x:c>
      <x:c r="G8" s="11" t="inlineStr">
        <x:is>
          <x:t xml:space="preserve">Normalizar slug y enlaces internos</x:t>
        </x:is>
      </x:c>
      <x:c r="H8" s="10" t="inlineStr">
        <x:is>
          <x:t xml:space="preserve">https://interactius.com/servicios/ux-as-a-service/</x:t>
        </x:is>
      </x:c>
    </x:row>
    <x:row r="9">
      <x:c r="A9" s="10" t="inlineStr">
        <x:is>
          <x:t xml:space="preserve">https://interactius.com/servicios/ux-as-a-service/s</x:t>
        </x:is>
      </x:c>
      <x:c r="B9" s="10" t="inlineStr">
        <x:is>
          <x:t xml:space="preserve">https://interactius.com/servicios/</x:t>
        </x:is>
      </x:c>
      <x:c r="C9" s="11" t="inlineStr">
        <x:is>
          <x:t xml:space="preserve">Redirect observado</x:t>
        </x:is>
      </x:c>
      <x:c r="D9" s="9" t="inlineStr">
        <x:is>
          <x:t xml:space="preserve">Pendiente</x:t>
        </x:is>
      </x:c>
      <x:c r="E9" s="11" t="inlineStr">
        <x:is>
          <x:t xml:space="preserve">Servicio</x:t>
        </x:is>
      </x:c>
      <x:c r="F9" s="11" t="inlineStr">
        <x:is>
          <x:t xml:space="preserve">Alta</x:t>
        </x:is>
      </x:c>
      <x:c r="G9" s="11" t="inlineStr">
        <x:is>
          <x:t xml:space="preserve">Posible enlace interno roto en homepage; corregirlo</x:t>
        </x:is>
      </x:c>
      <x:c r="H9" s="10" t="inlineStr">
        <x:is>
          <x:t xml:space="preserve">https://interactius.com/</x:t>
        </x:is>
      </x:c>
    </x:row>
    <x:row r="10">
      <x:c r="A10" s="10" t="inlineStr">
        <x:is>
          <x:t xml:space="preserve">https://interactius.com/empleo-ux/</x:t>
        </x:is>
      </x:c>
      <x:c r="B10" s="10" t="inlineStr">
        <x:is>
          <x:t xml:space="preserve">https://interactius.com/equipo-ux/empleo-ux/</x:t>
        </x:is>
      </x:c>
      <x:c r="C10" s="11" t="inlineStr">
        <x:is>
          <x:t xml:space="preserve">Redirect observado</x:t>
        </x:is>
      </x:c>
      <x:c r="D10" s="9" t="inlineStr">
        <x:is>
          <x:t xml:space="preserve">Pendiente</x:t>
        </x:is>
      </x:c>
      <x:c r="E10" s="11" t="inlineStr">
        <x:is>
          <x:t xml:space="preserve">Talento</x:t>
        </x:is>
      </x:c>
      <x:c r="F10" s="11" t="inlineStr">
        <x:is>
          <x:t xml:space="preserve">Media</x:t>
        </x:is>
      </x:c>
      <x:c r="G10" s="11" t="inlineStr">
        <x:is>
          <x:t xml:space="preserve">Mantener una sola ruta pública</x:t>
        </x:is>
      </x:c>
      <x:c r="H10" s="10" t="inlineStr">
        <x:is>
          <x:t xml:space="preserve">https://interactius.com/equipo-ux/empleo-ux/</x:t>
        </x:is>
      </x:c>
    </x:row>
    <x:row r="11">
      <x:c r="A11" s="10" t="inlineStr">
        <x:is>
          <x:t xml:space="preserve">https://interactius.com/aviso-legal</x:t>
        </x:is>
      </x:c>
      <x:c r="B11" s="10" t="inlineStr">
        <x:is>
          <x:t xml:space="preserve">https://interactius.com/aviso-legal/</x:t>
        </x:is>
      </x:c>
      <x:c r="C11" s="11" t="inlineStr">
        <x:is>
          <x:t xml:space="preserve">Redirect observado</x:t>
        </x:is>
      </x:c>
      <x:c r="D11" s="9" t="inlineStr">
        <x:is>
          <x:t xml:space="preserve">Pendiente</x:t>
        </x:is>
      </x:c>
      <x:c r="E11" s="11" t="inlineStr">
        <x:is>
          <x:t xml:space="preserve">Legal</x:t>
        </x:is>
      </x:c>
      <x:c r="F11" s="11" t="inlineStr">
        <x:is>
          <x:t xml:space="preserve">Baja</x:t>
        </x:is>
      </x:c>
      <x:c r="G11" s="11" t="inlineStr">
        <x:is>
          <x:t xml:space="preserve">Slash normalization correcta; mantener consistente</x:t>
        </x:is>
      </x:c>
      <x:c r="H11" s="10" t="inlineStr">
        <x:is>
          <x:t xml:space="preserve">https://interactius.com/aviso-legal/</x:t>
        </x:is>
      </x:c>
    </x:row>
  </x:sheetData>
  <x:dataValidations count="1">
    <x:dataValidation type="list" allowBlank="1" showDropDown="0" showInputMessage="0" showErrorMessage="0" sqref="D2:D11">
      <x:formula1>"301,302,404,410,Pendiente"</x:formula1>
    </x:dataValidation>
  </x:dataValidations>
  <x:pageMargins left="0.7" right="0.7" top="0.75" bottom="0.75" header="0.3" footer="0.3"/>
  <x:legacyDrawing xmlns:r="http://schemas.openxmlformats.org/officeDocument/2006/relationships" r:id="R5d608a2bc2074f5b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4" customWidth="1"/>
    <x:col min="3" max="3" width="16" customWidth="1"/>
    <x:col min="4" max="4" width="55" customWidth="1"/>
    <x:col min="5" max="5" width="60" customWidth="1"/>
    <x:col min="6" max="6" width="36" customWidth="1"/>
  </x:cols>
  <x:sheetData>
    <x:row r="1">
      <x:c r="A1" s="2" t="inlineStr">
        <x:is>
          <x:t xml:space="preserve">Prioridad</x:t>
        </x:is>
      </x:c>
      <x:c r="B1" s="2" t="inlineStr">
        <x:is>
          <x:t xml:space="preserve">Tipo de hallazgo</x:t>
        </x:is>
      </x:c>
      <x:c r="C1" s="2" t="inlineStr">
        <x:is>
          <x:t xml:space="preserve">Área</x:t>
        </x:is>
      </x:c>
      <x:c r="D1" s="2" t="inlineStr">
        <x:is>
          <x:t xml:space="preserve">URL</x:t>
        </x:is>
      </x:c>
      <x:c r="E1" s="2" t="inlineStr">
        <x:is>
          <x:t xml:space="preserve">Detalle</x:t>
        </x:is>
      </x:c>
      <x:c r="F1" s="2" t="inlineStr">
        <x:is>
          <x:t xml:space="preserve">Recomendación</x:t>
        </x:is>
      </x:c>
    </x:row>
    <x:row r="2">
      <x:c r="A2" s="12" t="inlineStr">
        <x:is>
          <x:t xml:space="preserve">Alta</x:t>
        </x:is>
      </x:c>
      <x:c r="B2" s="12" t="inlineStr">
        <x:is>
          <x:t xml:space="preserve">Malformed internal link</x:t>
        </x:is>
      </x:c>
      <x:c r="C2" s="12" t="inlineStr">
        <x:is>
          <x:t xml:space="preserve">Homepage</x:t>
        </x:is>
      </x:c>
      <x:c r="D2" s="13" t="inlineStr">
        <x:is>
          <x:t xml:space="preserve">https://interactius.com/servicios/ux-as-a-service/s</x:t>
        </x:is>
      </x:c>
      <x:c r="E2" s="12" t="inlineStr">
        <x:is>
          <x:t xml:space="preserve">La homepage enlaza a una URL con una 's' extra que acaba redirigiendo a /servicios/.</x:t>
        </x:is>
      </x:c>
      <x:c r="F2" s="12" t="inlineStr">
        <x:is>
          <x:t xml:space="preserve">Corregir el enlace interno a /servicios/ux-as-a-service/</x:t>
        </x:is>
      </x:c>
    </x:row>
    <x:row r="3">
      <x:c r="A3" s="12" t="inlineStr">
        <x:is>
          <x:t xml:space="preserve">Alta</x:t>
        </x:is>
      </x:c>
      <x:c r="B3" s="12" t="inlineStr">
        <x:is>
          <x:t xml:space="preserve">Arquitectura inconsistente de casos</x:t>
        </x:is>
      </x:c>
      <x:c r="C3" s="12" t="inlineStr">
        <x:is>
          <x:t xml:space="preserve">Casos de estudio</x:t>
        </x:is>
      </x:c>
      <x:c r="D3" s="13" t="inlineStr">
        <x:is>
          <x:t xml:space="preserve">https://interactius.com/case-study/case-qustodio/</x:t>
        </x:is>
      </x:c>
      <x:c r="E3" s="12" t="inlineStr">
        <x:is>
          <x:t xml:space="preserve">Qustodio sigue en /case-study/ mientras el resto de casos usan /casos-de-estudio/exito-... o redirigen allí.</x:t>
        </x:is>
      </x:c>
      <x:c r="F3" s="12" t="inlineStr">
        <x:is>
          <x:t xml:space="preserve">Unificar slugs y establecer 301 coherentes</x:t>
        </x:is>
      </x:c>
    </x:row>
    <x:row r="4">
      <x:c r="A4" s="11" t="inlineStr">
        <x:is>
          <x:t xml:space="preserve">Media</x:t>
        </x:is>
      </x:c>
      <x:c r="B4" s="11" t="inlineStr">
        <x:is>
          <x:t xml:space="preserve">Landing duplicada/legacy</x:t>
        </x:is>
      </x:c>
      <x:c r="C4" s="11" t="inlineStr">
        <x:is>
          <x:t xml:space="preserve">Eventos</x:t>
        </x:is>
      </x:c>
      <x:c r="D4" s="10" t="inlineStr">
        <x:is>
          <x:t xml:space="preserve">https://interactius.com/stmdl-2/</x:t>
        </x:is>
      </x:c>
      <x:c r="E4" s="11" t="inlineStr">
        <x:is>
          <x:t xml:space="preserve">Existe /stmdl/ en navegación principal y también /stmdl-2/ como landing pública.</x:t>
        </x:is>
      </x:c>
      <x:c r="F4" s="11" t="inlineStr">
        <x:is>
          <x:t xml:space="preserve">Decidir canonical único y redirigir la versión legacy</x:t>
        </x:is>
      </x:c>
    </x:row>
    <x:row r="5">
      <x:c r="A5" s="11" t="inlineStr">
        <x:is>
          <x:t xml:space="preserve">Media</x:t>
        </x:is>
      </x:c>
      <x:c r="B5" s="11" t="inlineStr">
        <x:is>
          <x:t xml:space="preserve">Título sugiere archivo</x:t>
        </x:is>
      </x:c>
      <x:c r="C5" s="11" t="inlineStr">
        <x:is>
          <x:t xml:space="preserve">Servicios</x:t>
        </x:is>
      </x:c>
      <x:c r="D5" s="10" t="inlineStr">
        <x:is>
          <x:t xml:space="preserve">https://interactius.com/servicios/formacion-ux-para-empresas/</x:t>
        </x:is>
      </x:c>
      <x:c r="E5" s="11" t="inlineStr">
        <x:is>
          <x:t xml:space="preserve">El título de la página incluye 'archivo', lo que puede indicar contenido legacy o taxonomía antigua.</x:t>
        </x:is>
      </x:c>
      <x:c r="F5" s="11" t="inlineStr">
        <x:is>
          <x:t xml:space="preserve">Revisar title tag, plantilla y canonical</x:t>
        </x:is>
      </x:c>
    </x:row>
    <x:row r="6">
      <x:c r="A6" s="11" t="inlineStr">
        <x:is>
          <x:t xml:space="preserve">Media</x:t>
        </x:is>
      </x:c>
      <x:c r="B6" s="11" t="inlineStr">
        <x:is>
          <x:t xml:space="preserve">Ruta legacy viva</x:t>
        </x:is>
      </x:c>
      <x:c r="C6" s="11" t="inlineStr">
        <x:is>
          <x:t xml:space="preserve">Talento</x:t>
        </x:is>
      </x:c>
      <x:c r="D6" s="10" t="inlineStr">
        <x:is>
          <x:t xml:space="preserve">https://interactius.com/talento-ux/</x:t>
        </x:is>
      </x:c>
      <x:c r="E6" s="11" t="inlineStr">
        <x:is>
          <x:t xml:space="preserve">Sigue viva una landing de talento separada de /servicios/profesionales-ux/ y /equipo-ux/.</x:t>
        </x:is>
      </x:c>
      <x:c r="F6" s="11" t="inlineStr">
        <x:is>
          <x:t xml:space="preserve">Revisar solapamiento semántico y estrategia de indexación</x:t>
        </x:is>
      </x:c>
    </x:row>
    <x:row r="7">
      <x:c r="A7" s="14" t="inlineStr">
        <x:is>
          <x:t xml:space="preserve">Baja</x:t>
        </x:is>
      </x:c>
      <x:c r="B7" s="14" t="inlineStr">
        <x:is>
          <x:t xml:space="preserve">Slash normalization</x:t>
        </x:is>
      </x:c>
      <x:c r="C7" s="14" t="inlineStr">
        <x:is>
          <x:t xml:space="preserve">Legal</x:t>
        </x:is>
      </x:c>
      <x:c r="D7" s="15" t="inlineStr">
        <x:is>
          <x:t xml:space="preserve">https://interactius.com/aviso-legal</x:t>
        </x:is>
      </x:c>
      <x:c r="E7" s="14" t="inlineStr">
        <x:is>
          <x:t xml:space="preserve">La versión sin slash redirige a la versión con slash.</x:t>
        </x:is>
      </x:c>
      <x:c r="F7" s="14" t="inlineStr">
        <x:is>
          <x:t xml:space="preserve">Mantener; solo verificar consistencia interna</x:t>
        </x:is>
      </x:c>
    </x:row>
    <x:row r="8">
      <x:c r="A8" s="11" t="inlineStr">
        <x:is>
          <x:t xml:space="preserve">Media</x:t>
        </x:is>
      </x:c>
      <x:c r="B8" s="11" t="inlineStr">
        <x:is>
          <x:t xml:space="preserve">Ruta antigua redirigida</x:t>
        </x:is>
      </x:c>
      <x:c r="C8" s="11" t="inlineStr">
        <x:is>
          <x:t xml:space="preserve">Talento</x:t>
        </x:is>
      </x:c>
      <x:c r="D8" s="10" t="inlineStr">
        <x:is>
          <x:t xml:space="preserve">https://interactius.com/empleo-ux/</x:t>
        </x:is>
      </x:c>
      <x:c r="E8" s="11" t="inlineStr">
        <x:is>
          <x:t xml:space="preserve">La ruta antigua sigue resolviendo vía redirect a la nueva ruta dentro de /equipo-ux/.</x:t>
        </x:is>
      </x:c>
      <x:c r="F8" s="11" t="inlineStr">
        <x:is>
          <x:t xml:space="preserve">Actualizar enlaces internos y sitemap al destino final</x:t>
        </x:is>
      </x:c>
    </x:row>
  </x:sheetData>
  <x:pageMargins left="0.7" right="0.7" top="0.75" bottom="0.75" header="0.3" footer="0.3"/>
</x:worksheet>
</file>