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binary" PartName="/xl/commentsmeta2"/>
  <Override ContentType="application/binary" PartName="/xl/metadata"/>
  <Override ContentType="application/binary" PartName="/xl/commentsmeta0"/>
  <Override ContentType="application/binary" PartName="/xl/commentsmeta1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spreadsheetml.comments+xml" PartName="/xl/comments3.xml"/>
  <Override ContentType="application/vnd.openxmlformats-officedocument.spreadsheetml.comments+xml" PartName="/xl/comments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README" sheetId="1" r:id="rId4"/>
    <sheet state="visible" name="Resumen" sheetId="2" r:id="rId5"/>
    <sheet state="visible" name="Crawl_actual" sheetId="3" r:id="rId6"/>
    <sheet state="visible" name="Plan_redirecciones" sheetId="4" r:id="rId7"/>
    <sheet state="visible" name="Redirecciones_detectadas" sheetId="5" r:id="rId8"/>
    <sheet state="visible" name="QA_SEO" sheetId="6" r:id="rId9"/>
  </sheets>
  <definedNames/>
  <calcPr/>
  <extLst>
    <ext uri="GoogleSheetsCustomDataVersion2">
      <go:sheetsCustomData xmlns:go="http://customooxmlschemas.google.com/" r:id="rId10" roundtripDataChecksum="wR4uoafxqDKNZCZpOPNLLzpHdivwriY6L9GrpuLahi8="/>
    </ext>
  </extLst>
</workbook>
</file>

<file path=xl/comments1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A1">
      <text>
        <t xml:space="preserve">======
ID#AAAB3VkPOmQ
OpenAI    (2026-04-16 06:11:55)
Inventario base de URLs públicas detectadas durante la captura.</t>
      </text>
    </comment>
  </commentList>
  <extLst>
    <ext uri="GoogleSheetsCustomDataVersion2">
      <go:sheetsCustomData xmlns:go="http://customooxmlschemas.google.com/" r:id="rId1" roundtripDataSignature="AMtx7mjFg11Y+j9ehDP5JN1jXtxcIpu5OA=="/>
    </ext>
  </extLst>
</comments>
</file>

<file path=xl/comments2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D1">
      <text>
        <t xml:space="preserve">======
ID#AAAB3VkPOmI
OpenAI    (2026-04-16 06:11:55)
Columna de entrada manual: pega aquí la URL final de la nueva web para preparar el redirect.</t>
      </text>
    </comment>
  </commentList>
  <extLst>
    <ext uri="GoogleSheetsCustomDataVersion2">
      <go:sheetsCustomData xmlns:go="http://customooxmlschemas.google.com/" r:id="rId1" roundtripDataSignature="AMtx7mgrOPeExYwPrFocOD5ED8rzDk7ong=="/>
    </ext>
  </extLst>
</comments>
</file>

<file path=xl/comments3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D1">
      <text>
        <t xml:space="preserve">======
ID#AAAB3VkPOmM
OpenAI    (2026-04-16 06:11:55)
HTTP no verificado técnicamente en este archivo; confirmar con crawl técnico o servidor.</t>
      </text>
    </comment>
  </commentList>
  <extLst>
    <ext uri="GoogleSheetsCustomDataVersion2">
      <go:sheetsCustomData xmlns:go="http://customooxmlschemas.google.com/" r:id="rId1" roundtripDataSignature="AMtx7mivPphpB7wZsb0QDICb/a4cHulDWg=="/>
    </ext>
  </extLst>
</comments>
</file>

<file path=xl/sharedStrings.xml><?xml version="1.0" encoding="utf-8"?>
<sst xmlns="http://schemas.openxmlformats.org/spreadsheetml/2006/main" count="853" uniqueCount="216">
  <si>
    <t>Archivo</t>
  </si>
  <si>
    <t>Inventario SEO + plantilla de redirecciones para la web actual de Interactius</t>
  </si>
  <si>
    <t>Fecha de captura</t>
  </si>
  <si>
    <t>Alcance</t>
  </si>
  <si>
    <t>URLs públicas detectadas desde homepage, navegación, servicios, casos de estudio, blog y algunas landings públicas.</t>
  </si>
  <si>
    <t>Qué incluye</t>
  </si>
  <si>
    <t>1) Crawl base de URLs actuales. 2) Hoja para planificar redirects de la nueva web. 3) Redirects legacy observados. 4) Hallazgos QA SEO.</t>
  </si>
  <si>
    <t>Qué no incluye</t>
  </si>
  <si>
    <t>No es un crawl exhaustivo de sitemap ni un validador HTTP 301/302 completo. Los redirects están observados por navegación pública y quedan marcados como 'Pendiente' para confirmación técnica.</t>
  </si>
  <si>
    <t>Cómo usarlo</t>
  </si>
  <si>
    <t>Completa la hoja 'Plan_redirecciones' con la URL destino de la nueva web y el tipo de redirect (idealmente 301).</t>
  </si>
  <si>
    <t>Fuentes</t>
  </si>
  <si>
    <t>URLs públicas de interactius.com descubiertas entre homepage, páginas internas y resultados públicos indexados.</t>
  </si>
  <si>
    <t>Métrica</t>
  </si>
  <si>
    <t>Valor</t>
  </si>
  <si>
    <t>URLs actuales inventariadas</t>
  </si>
  <si>
    <t>Redirects legacy observados</t>
  </si>
  <si>
    <t>Issues QA SEO</t>
  </si>
  <si>
    <t>Servicios</t>
  </si>
  <si>
    <t>Casos de estudio</t>
  </si>
  <si>
    <t>Posts de blog</t>
  </si>
  <si>
    <t>Landings</t>
  </si>
  <si>
    <t>Páginas principales</t>
  </si>
  <si>
    <t>URLs legales</t>
  </si>
  <si>
    <t>Talento</t>
  </si>
  <si>
    <t>Issues alta prioridad</t>
  </si>
  <si>
    <t>URL actual</t>
  </si>
  <si>
    <t>Título / H1</t>
  </si>
  <si>
    <t>Tipo</t>
  </si>
  <si>
    <t>Sección</t>
  </si>
  <si>
    <t>Descubierta desde</t>
  </si>
  <si>
    <t>Fuente pública</t>
  </si>
  <si>
    <t>https://interactius.com/</t>
  </si>
  <si>
    <t>Agencia de Diseño Estratégico y Experiencia de Usuario</t>
  </si>
  <si>
    <t>Home</t>
  </si>
  <si>
    <t>Principal</t>
  </si>
  <si>
    <t>Homepage</t>
  </si>
  <si>
    <t>https://interactius.com/servicios/</t>
  </si>
  <si>
    <t>Nuestros servicios son soluciones</t>
  </si>
  <si>
    <t>Página</t>
  </si>
  <si>
    <t>https://interactius.com/casos-de-estudio/</t>
  </si>
  <si>
    <t>https://interactius.com/identidad/</t>
  </si>
  <si>
    <t>¿Quiénes somos? Somos una Rock Band</t>
  </si>
  <si>
    <t>Marca</t>
  </si>
  <si>
    <t>https://interactius.com/metodo/</t>
  </si>
  <si>
    <t>Conoce nuestra metodología de trabajo UX</t>
  </si>
  <si>
    <t>Método</t>
  </si>
  <si>
    <t>https://interactius.com/equipo-ux/</t>
  </si>
  <si>
    <t>Únete a nuestro equipo experto en UX</t>
  </si>
  <si>
    <t>https://interactius.com/blog/</t>
  </si>
  <si>
    <t>El blog de Interactius</t>
  </si>
  <si>
    <t>Blog</t>
  </si>
  <si>
    <t>https://interactius.com/stmdl/</t>
  </si>
  <si>
    <t>#SiTuMeDicesLearn</t>
  </si>
  <si>
    <t>Landing</t>
  </si>
  <si>
    <t>Eventos</t>
  </si>
  <si>
    <t>https://interactius.com/testers-interactius/</t>
  </si>
  <si>
    <t>¿Quieres ser tester?</t>
  </si>
  <si>
    <t>Comunidad</t>
  </si>
  <si>
    <t>https://interactius.com/designtapas/</t>
  </si>
  <si>
    <t>DesignTapas, la newsletter sobre UX</t>
  </si>
  <si>
    <t>Newsletter</t>
  </si>
  <si>
    <t>https://interactius.com/servicios/diseno-de-estrategia-ux/</t>
  </si>
  <si>
    <t>Diseño de estrategia UX</t>
  </si>
  <si>
    <t>Servicio</t>
  </si>
  <si>
    <t>https://interactius.com/servicios/user-research/</t>
  </si>
  <si>
    <t>User research</t>
  </si>
  <si>
    <t>https://interactius.com/servicios/design-maturity-assessment/</t>
  </si>
  <si>
    <t>Design maturity assessment</t>
  </si>
  <si>
    <t>https://interactius.com/servicios/ux-branding/</t>
  </si>
  <si>
    <t>UX Branding</t>
  </si>
  <si>
    <t>https://interactius.com/servicios/diseno-de-producto-digital/</t>
  </si>
  <si>
    <t>Diseño de producto digital</t>
  </si>
  <si>
    <t>https://interactius.com/servicios/cro/</t>
  </si>
  <si>
    <t>CRO - UX Convert</t>
  </si>
  <si>
    <t>https://interactius.com/servicios/auditoria-ux-para-ecommerce/</t>
  </si>
  <si>
    <t>Auditoría UX para e-commerce</t>
  </si>
  <si>
    <t>https://interactius.com/servicios/auditoria-de-accesibilidad-ux/</t>
  </si>
  <si>
    <t>Auditoría de Accesibilidad UX</t>
  </si>
  <si>
    <t>https://interactius.com/servicios/ux-as-a-service/</t>
  </si>
  <si>
    <t>UX As A Service | UXAAS para empresas</t>
  </si>
  <si>
    <t>https://interactius.com/servicios/workshops/</t>
  </si>
  <si>
    <t>Workshops colaborativos</t>
  </si>
  <si>
    <t>https://interactius.com/servicios/workshops/workshop-lego-serious-play/</t>
  </si>
  <si>
    <t>Workshop Lego Serious Play</t>
  </si>
  <si>
    <t>https://interactius.com/servicios/formacion-ux-para-empresas/</t>
  </si>
  <si>
    <t>Formación In Company</t>
  </si>
  <si>
    <t>https://interactius.com/servicios/profesionales-ux/</t>
  </si>
  <si>
    <t>Profesionales UX</t>
  </si>
  <si>
    <t>https://interactius.com/servicios/tests-de-usabilidad/</t>
  </si>
  <si>
    <t>Tests de usabilidad</t>
  </si>
  <si>
    <t>https://interactius.com/talento-ux/</t>
  </si>
  <si>
    <t>Búsqueda pública</t>
  </si>
  <si>
    <t>https://interactius.com/workshots-ideacion-en-remoto/</t>
  </si>
  <si>
    <t>Workshots - ideación en remoto</t>
  </si>
  <si>
    <t>Eventos/Workshops</t>
  </si>
  <si>
    <t>https://interactius.com/workshots-ideacion-ia/</t>
  </si>
  <si>
    <t>Workshots - Ideación con IA Generativa</t>
  </si>
  <si>
    <t>https://interactius.com/casos-de-estudio/exito-freshperts/</t>
  </si>
  <si>
    <t>Freshperts</t>
  </si>
  <si>
    <t>Caso de estudio</t>
  </si>
  <si>
    <t>https://interactius.com/casos-de-estudio/exito-mediacoach/</t>
  </si>
  <si>
    <t>Mediacoach</t>
  </si>
  <si>
    <t>https://interactius.com/case-study/case-qustodio/</t>
  </si>
  <si>
    <t>Qustodio</t>
  </si>
  <si>
    <t>https://interactius.com/casos-de-estudio/exito-lanaccess/</t>
  </si>
  <si>
    <t>Lanaccess</t>
  </si>
  <si>
    <t>https://interactius.com/casos-de-estudio/exito-ad360/</t>
  </si>
  <si>
    <t>AD360</t>
  </si>
  <si>
    <t>https://interactius.com/casos-de-estudio/exito-next-us/</t>
  </si>
  <si>
    <t>Next Us</t>
  </si>
  <si>
    <t>https://interactius.com/ia/el-proceso-de-diseno-tradicional-esta-muerto-el-nuevo-rol-del-disenador-segun-anthropic/</t>
  </si>
  <si>
    <t>El proceso de diseño tradicional está muerto</t>
  </si>
  <si>
    <t>https://interactius.com/ia/el-diseno-ux-y-de-producto-entro-en-una-nueva-era-conversacion-con-antonio-diaz-cueto/</t>
  </si>
  <si>
    <t>El Diseño UX y de producto entró en una nueva era</t>
  </si>
  <si>
    <t>https://interactius.com/estrategia/prospectiva-estrategica-de-la-incertidumbre-a-la-accion/</t>
  </si>
  <si>
    <t>Prospectiva Estratégica: De la Incertidumbre a la Acción</t>
  </si>
  <si>
    <t>https://interactius.com/ia/el-nuevo-rol-del-product-designer-en-la-era-del-vibe-coding/</t>
  </si>
  <si>
    <t>El nuevo rol del Product Designer en la era del Vibe Coding</t>
  </si>
  <si>
    <t>https://interactius.com/ia/la-ia-ya-no-es-la-ventaja-competitiva/</t>
  </si>
  <si>
    <t>La IA ya no es la ventaja competitiva</t>
  </si>
  <si>
    <t>https://interactius.com/ia/ux-research-con-ia-investigar-antes-decidir-mejor-generar-impacto/</t>
  </si>
  <si>
    <t>UX Research con IA: investigar antes, decidir mejor, generar impacto</t>
  </si>
  <si>
    <t>https://interactius.com/ia/clonica-no-es-magia-es-research-con-ia-asi-trabajamos-con-usuarios-sinteticos/</t>
  </si>
  <si>
    <t>Clonica: así trabajamos con usuarios sintéticos</t>
  </si>
  <si>
    <t>https://interactius.com/design/manifiesto-rebel-el-archivo-vivo-de-voces-que-piden-un-diseno-mas-humano/</t>
  </si>
  <si>
    <t>Manifiesto Rebel</t>
  </si>
  <si>
    <t>https://interactius.com/design/del-designops-a-la-accesibilidad-y-la-ia-conversacion-con-raul-luque-ibm/</t>
  </si>
  <si>
    <t>Del DesignOps a la Accesibilidad y la IA</t>
  </si>
  <si>
    <t>https://interactius.com/ia/human-first-next-ai-de-humano-a-humano-despues-la-ia/</t>
  </si>
  <si>
    <t>Human First, Next AI</t>
  </si>
  <si>
    <t>https://interactius.com/aviso-legal/</t>
  </si>
  <si>
    <t>Aviso Legal</t>
  </si>
  <si>
    <t>Legal</t>
  </si>
  <si>
    <t>Footer</t>
  </si>
  <si>
    <t>https://interactius.com/equipo-ux/empleo-ux/</t>
  </si>
  <si>
    <t>Empleo UX</t>
  </si>
  <si>
    <t>Blog / búsqueda pública</t>
  </si>
  <si>
    <t>Título</t>
  </si>
  <si>
    <t>URL destino nueva web</t>
  </si>
  <si>
    <t>Match</t>
  </si>
  <si>
    <t>HTTP</t>
  </si>
  <si>
    <t>Prioridad</t>
  </si>
  <si>
    <t>Owner</t>
  </si>
  <si>
    <t>Estado</t>
  </si>
  <si>
    <t>Notas</t>
  </si>
  <si>
    <t>Exacta</t>
  </si>
  <si>
    <t>301</t>
  </si>
  <si>
    <t/>
  </si>
  <si>
    <t>Listo</t>
  </si>
  <si>
    <t>Cercana</t>
  </si>
  <si>
    <t>https://interactius.com/miradas/</t>
  </si>
  <si>
    <t>https://interactius.com/contacto</t>
  </si>
  <si>
    <t>https://interactius.com/miradas/el-proceso-de-diseno-tradicional-esta-muerto-el-nuevo-rol-del-disenador-segun-anthropic/</t>
  </si>
  <si>
    <t>https://interactius.com/miradas/el-diseno-ux-y-de-producto-entro-en-una-nueva-era-conversacion-con-antonio-diaz-cueto/</t>
  </si>
  <si>
    <t>https://interactius.com/miradas/prospectiva-estrategica-de-la-incertidumbre-a-la-accion/</t>
  </si>
  <si>
    <t>https://interactius.com/miradas/el-nuevo-rol-del-product-designer-en-la-era-del-vibe-coding/</t>
  </si>
  <si>
    <t>https://interactius.com/miradas/la-ia-ya-no-es-la-ventaja-competitiva/</t>
  </si>
  <si>
    <t>https://interactius.com/miradas/ux-research-con-ia-investigar-antes-decidir-mejor-generar-impacto/</t>
  </si>
  <si>
    <t>https://interactius.com/miradas/clonica-no-es-magia-es-research-con-ia-asi-trabajamos-con-usuarios-sinteticos/</t>
  </si>
  <si>
    <t>https://interactius.com/miradas/manifiesto-rebel-el-archivo-vivo-de-voces-que-piden-un-diseno-mas-humano/</t>
  </si>
  <si>
    <t>https://interactius.com/miradas/del-designops-a-la-accesibilidad-y-la-ia-conversacion-con-raul-luque-ibm/</t>
  </si>
  <si>
    <t>https://interactius.com/miradas/human-first-next-ai-de-humano-a-humano-despues-la-ia/</t>
  </si>
  <si>
    <t>URL origen legacy</t>
  </si>
  <si>
    <t>URL destino observada</t>
  </si>
  <si>
    <t>Estado observado</t>
  </si>
  <si>
    <t>Acción recomendada</t>
  </si>
  <si>
    <t>https://interactius.com/case-study/</t>
  </si>
  <si>
    <t>Redirect observado</t>
  </si>
  <si>
    <t>Pendiente</t>
  </si>
  <si>
    <t>Arquitectura de URLs</t>
  </si>
  <si>
    <t>Alta</t>
  </si>
  <si>
    <t>Actualizar enlaces internos y usar esta URL como canonical</t>
  </si>
  <si>
    <t>https://interactius.com/case-study/case-freshperts/</t>
  </si>
  <si>
    <t>Mapear 301 definitivo si se migra el contenido</t>
  </si>
  <si>
    <t>https://interactius.com/case-study/case-mediacoach/</t>
  </si>
  <si>
    <t>https://interactius.com/case-study/case-lanaccess/</t>
  </si>
  <si>
    <t>https://interactius.com/case-study/case-ad360/</t>
  </si>
  <si>
    <t>https://interactius.com/case-study/case-next-us/</t>
  </si>
  <si>
    <t>https://interactius.com/servicios/uxaas/</t>
  </si>
  <si>
    <t>Normalizar slug y enlaces internos</t>
  </si>
  <si>
    <t>https://interactius.com/servicios/ux-as-a-service/s</t>
  </si>
  <si>
    <t>Posible enlace interno roto en homepage; corregirlo</t>
  </si>
  <si>
    <t>https://interactius.com/empleo-ux/</t>
  </si>
  <si>
    <t>Media</t>
  </si>
  <si>
    <t>Mantener una sola ruta pública</t>
  </si>
  <si>
    <t>https://interactius.com/aviso-legal</t>
  </si>
  <si>
    <t>Baja</t>
  </si>
  <si>
    <t>Slash normalization correcta; mantener consistente</t>
  </si>
  <si>
    <t>Tipo de hallazgo</t>
  </si>
  <si>
    <t>Área</t>
  </si>
  <si>
    <t>URL</t>
  </si>
  <si>
    <t>Detalle</t>
  </si>
  <si>
    <t>Recomendación</t>
  </si>
  <si>
    <t>Malformed internal link</t>
  </si>
  <si>
    <t>La homepage enlaza a una URL con una 's' extra que acaba redirigiendo a /servicios/.</t>
  </si>
  <si>
    <t>Corregir el enlace interno a /servicios/ux-as-a-service/</t>
  </si>
  <si>
    <t>Arquitectura inconsistente de casos</t>
  </si>
  <si>
    <t>Qustodio sigue en /case-study/ mientras el resto de casos usan /casos-de-estudio/exito-... o redirigen allí.</t>
  </si>
  <si>
    <t>Unificar slugs y establecer 301 coherentes</t>
  </si>
  <si>
    <t>Landing duplicada/legacy</t>
  </si>
  <si>
    <t>https://interactius.com/stmdl-2/</t>
  </si>
  <si>
    <t>Existe /stmdl/ en navegación principal y también /stmdl-2/ como landing pública.</t>
  </si>
  <si>
    <t>Decidir canonical único y redirigir la versión legacy</t>
  </si>
  <si>
    <t>Título sugiere archivo</t>
  </si>
  <si>
    <t>El título de la página incluye 'archivo', lo que puede indicar contenido legacy o taxonomía antigua.</t>
  </si>
  <si>
    <t>Revisar title tag, plantilla y canonical</t>
  </si>
  <si>
    <t>Ruta legacy viva</t>
  </si>
  <si>
    <t>Sigue viva una landing de talento separada de /servicios/profesionales-ux/ y /equipo-ux/.</t>
  </si>
  <si>
    <t>Revisar solapamiento semántico y estrategia de indexación</t>
  </si>
  <si>
    <t>Slash normalization</t>
  </si>
  <si>
    <t>La versión sin slash redirige a la versión con slash.</t>
  </si>
  <si>
    <t>Mantener; solo verificar consistencia interna</t>
  </si>
  <si>
    <t>Ruta antigua redirigida</t>
  </si>
  <si>
    <t>La ruta antigua sigue resolviendo vía redirect a la nueva ruta dentro de /equipo-ux/.</t>
  </si>
  <si>
    <t>Actualizar enlaces internos y sitemap al destino final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</si>
</sst>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yyyy-mm-dd h:mm:ss"/>
  </numFmts>
  <fonts count="15">
    <font>
      <sz val="11.0"/>
      <color theme="1"/>
      <name val="Calibri"/>
      <scheme val="minor"/>
    </font>
    <font>
      <b/>
      <color rgb="FF666666"/>
      <name val="Calibri"/>
      <scheme val="minor"/>
    </font>
    <font>
      <b/>
      <color rgb="FFFFFFFF"/>
      <name val="Calibri"/>
      <scheme val="minor"/>
    </font>
    <font>
      <sz val="11.0"/>
      <color theme="1"/>
      <name val="Calibri"/>
    </font>
    <font>
      <color rgb="FF666666"/>
      <name val="Calibri"/>
      <scheme val="minor"/>
    </font>
    <font>
      <b/>
      <color rgb="FF000000"/>
      <name val="Calibri"/>
      <scheme val="minor"/>
    </font>
    <font>
      <u/>
      <color rgb="FF008000"/>
      <name val="Calibri"/>
      <scheme val="minor"/>
    </font>
    <font>
      <u/>
      <color rgb="FF008000"/>
      <name val="Calibri"/>
      <scheme val="minor"/>
    </font>
    <font>
      <color rgb="FF0000FF"/>
      <name val="Calibri"/>
      <scheme val="minor"/>
    </font>
    <font>
      <u/>
      <color rgb="FF008000"/>
    </font>
    <font>
      <u/>
      <color rgb="FF008000"/>
    </font>
    <font>
      <u/>
      <color rgb="FF008000"/>
      <name val="Calibri"/>
      <scheme val="minor"/>
    </font>
    <font>
      <u/>
      <color rgb="FF008000"/>
      <name val="Calibri"/>
      <scheme val="minor"/>
    </font>
    <font>
      <u/>
      <color rgb="FF008000"/>
      <name val="Calibri"/>
      <scheme val="minor"/>
    </font>
    <font>
      <u/>
      <color rgb="FF008000"/>
      <name val="Calibri"/>
      <scheme val="minor"/>
    </font>
  </fonts>
  <fills count="9">
    <fill>
      <patternFill patternType="none"/>
    </fill>
    <fill>
      <patternFill patternType="lightGray"/>
    </fill>
    <fill>
      <patternFill patternType="solid">
        <fgColor rgb="FFE7E6E6"/>
        <bgColor rgb="FFE7E6E6"/>
      </patternFill>
    </fill>
    <fill>
      <patternFill patternType="solid">
        <fgColor rgb="FF1F4E78"/>
        <bgColor rgb="FF1F4E78"/>
      </patternFill>
    </fill>
    <fill>
      <patternFill patternType="solid">
        <fgColor rgb="FFDDEBF7"/>
        <bgColor rgb="FFDDEBF7"/>
      </patternFill>
    </fill>
    <fill>
      <patternFill patternType="solid">
        <fgColor rgb="FFE2F0D9"/>
        <bgColor rgb="FFE2F0D9"/>
      </patternFill>
    </fill>
    <fill>
      <patternFill patternType="solid">
        <fgColor rgb="FFD9EAF7"/>
        <bgColor rgb="FFD9EAF7"/>
      </patternFill>
    </fill>
    <fill>
      <patternFill patternType="solid">
        <fgColor rgb="FFFCE4D6"/>
        <bgColor rgb="FFFCE4D6"/>
      </patternFill>
    </fill>
    <fill>
      <patternFill patternType="solid">
        <fgColor rgb="FFFDE9E7"/>
        <bgColor rgb="FFFDE9E7"/>
      </patternFill>
    </fill>
  </fills>
  <borders count="2">
    <border/>
    <border>
      <bottom style="thin">
        <color rgb="FFD0D0D0"/>
      </bottom>
    </border>
  </borders>
  <cellStyleXfs count="1">
    <xf borderId="0" fillId="0" fontId="0" numFmtId="0" applyAlignment="1" applyFont="1"/>
  </cellStyleXfs>
  <cellXfs count="21">
    <xf borderId="0" fillId="0" fontId="0" numFmtId="0" xfId="0" applyAlignment="1" applyFont="1">
      <alignment readingOrder="0" shrinkToFit="0" vertical="bottom" wrapText="0"/>
    </xf>
    <xf borderId="1" fillId="2" fontId="1" numFmtId="0" xfId="0" applyBorder="1" applyFill="1" applyFont="1"/>
    <xf borderId="1" fillId="3" fontId="2" numFmtId="0" xfId="0" applyAlignment="1" applyBorder="1" applyFill="1" applyFont="1">
      <alignment shrinkToFit="0" vertical="top" wrapText="1"/>
    </xf>
    <xf borderId="1" fillId="0" fontId="3" numFmtId="164" xfId="0" applyAlignment="1" applyBorder="1" applyFont="1" applyNumberFormat="1">
      <alignment shrinkToFit="0" vertical="top" wrapText="1"/>
    </xf>
    <xf borderId="1" fillId="0" fontId="3" numFmtId="0" xfId="0" applyAlignment="1" applyBorder="1" applyFont="1">
      <alignment shrinkToFit="0" vertical="top" wrapText="1"/>
    </xf>
    <xf borderId="1" fillId="2" fontId="4" numFmtId="0" xfId="0" applyAlignment="1" applyBorder="1" applyFont="1">
      <alignment shrinkToFit="0" vertical="top" wrapText="1"/>
    </xf>
    <xf borderId="1" fillId="4" fontId="5" numFmtId="0" xfId="0" applyAlignment="1" applyBorder="1" applyFill="1" applyFont="1">
      <alignment shrinkToFit="0" vertical="top" wrapText="1"/>
    </xf>
    <xf borderId="1" fillId="5" fontId="6" numFmtId="0" xfId="0" applyAlignment="1" applyBorder="1" applyFill="1" applyFont="1">
      <alignment shrinkToFit="0" vertical="top" wrapText="1"/>
    </xf>
    <xf borderId="1" fillId="5" fontId="3" numFmtId="0" xfId="0" applyAlignment="1" applyBorder="1" applyFont="1">
      <alignment shrinkToFit="0" vertical="top" wrapText="1"/>
    </xf>
    <xf borderId="1" fillId="5" fontId="7" numFmtId="0" xfId="0" applyAlignment="1" applyBorder="1" applyFont="1">
      <alignment shrinkToFit="0" vertical="top" wrapText="1"/>
    </xf>
    <xf borderId="1" fillId="6" fontId="8" numFmtId="0" xfId="0" applyAlignment="1" applyBorder="1" applyFill="1" applyFont="1">
      <alignment readingOrder="0" shrinkToFit="0" vertical="top" wrapText="1"/>
    </xf>
    <xf borderId="1" fillId="6" fontId="8" numFmtId="0" xfId="0" applyAlignment="1" applyBorder="1" applyFont="1">
      <alignment shrinkToFit="0" vertical="top" wrapText="1"/>
    </xf>
    <xf borderId="1" fillId="5" fontId="9" numFmtId="0" xfId="0" applyAlignment="1" applyBorder="1" applyFont="1">
      <alignment readingOrder="0" shrinkToFit="0" vertical="top" wrapText="1"/>
    </xf>
    <xf borderId="1" fillId="5" fontId="10" numFmtId="0" xfId="0" applyAlignment="1" applyBorder="1" applyFont="1">
      <alignment readingOrder="0" shrinkToFit="0" vertical="top" wrapText="1"/>
    </xf>
    <xf borderId="1" fillId="5" fontId="11" numFmtId="0" xfId="0" applyAlignment="1" applyBorder="1" applyFont="1">
      <alignment readingOrder="0" shrinkToFit="0" vertical="top" wrapText="1"/>
    </xf>
    <xf borderId="1" fillId="7" fontId="12" numFmtId="0" xfId="0" applyAlignment="1" applyBorder="1" applyFill="1" applyFont="1">
      <alignment shrinkToFit="0" vertical="top" wrapText="1"/>
    </xf>
    <xf borderId="1" fillId="7" fontId="3" numFmtId="0" xfId="0" applyAlignment="1" applyBorder="1" applyFont="1">
      <alignment shrinkToFit="0" vertical="top" wrapText="1"/>
    </xf>
    <xf borderId="1" fillId="8" fontId="3" numFmtId="0" xfId="0" applyAlignment="1" applyBorder="1" applyFill="1" applyFont="1">
      <alignment shrinkToFit="0" vertical="top" wrapText="1"/>
    </xf>
    <xf borderId="1" fillId="8" fontId="13" numFmtId="0" xfId="0" applyAlignment="1" applyBorder="1" applyFont="1">
      <alignment shrinkToFit="0" vertical="top" wrapText="1"/>
    </xf>
    <xf borderId="1" fillId="2" fontId="3" numFmtId="0" xfId="0" applyAlignment="1" applyBorder="1" applyFont="1">
      <alignment shrinkToFit="0" vertical="top" wrapText="1"/>
    </xf>
    <xf borderId="1" fillId="2" fontId="14" numFmtId="0" xfId="0" applyAlignment="1" applyBorder="1" applyFont="1">
      <alignment shrinkToFit="0" vertical="top" wrapText="1"/>
    </xf>
  </cellXfs>
  <cellStyles count="1">
    <cellStyle xfId="0" name="Normal" builtinId="0"/>
  </cellStyles>
  <dxfs count="0"/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<Relationships xmlns="http://schemas.openxmlformats.org/package/2006/relationships"><Relationship Id="rId1" Type="http://customschemas.google.com/relationships/workbookmetadata" Target="commentsmeta1"/></Relationships>
</file>

<file path=xl/_rels/comments3.xml.rels><?xml version="1.0" encoding="UTF-8" standalone="yes"?><Relationships xmlns="http://schemas.openxmlformats.org/package/2006/relationships"><Relationship Id="rId1" Type="http://customschemas.google.com/relationships/workbookmetadata" Target="commentsmeta2"/></Relationships>
</file>

<file path=xl/_rels/workbook.xml.rels><?xml version="1.0" encoding="UTF-8" standalone="yes"?><Relationships xmlns="http://schemas.openxmlformats.org/package/2006/relationships"><Relationship Id="rId10" Type="http://customschemas.google.com/relationships/workbookmetadata" Target="metadata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3.xml"/><Relationship Id="rId3" Type="http://schemas.openxmlformats.org/officeDocument/2006/relationships/vmlDrawing" Target="../drawings/vmlDrawing1.vml"/></Relationships>
</file>

<file path=xl/worksheets/_rels/sheet4.xml.rels><?xml version="1.0" encoding="UTF-8" standalone="yes"?><Relationships xmlns="http://schemas.openxmlformats.org/package/2006/relationships"><Relationship Id="rId11" Type="http://schemas.openxmlformats.org/officeDocument/2006/relationships/hyperlink" Target="https://interactius.com/ia/el-nuevo-rol-del-product-designer-en-la-era-del-vibe-coding/" TargetMode="External"/><Relationship Id="rId10" Type="http://schemas.openxmlformats.org/officeDocument/2006/relationships/hyperlink" Target="https://interactius.com/miradas/prospectiva-estrategica-de-la-incertidumbre-a-la-accion/" TargetMode="External"/><Relationship Id="rId13" Type="http://schemas.openxmlformats.org/officeDocument/2006/relationships/hyperlink" Target="https://interactius.com/miradas/la-ia-ya-no-es-la-ventaja-competitiva/" TargetMode="External"/><Relationship Id="rId12" Type="http://schemas.openxmlformats.org/officeDocument/2006/relationships/hyperlink" Target="https://interactius.com/miradas/el-nuevo-rol-del-product-designer-en-la-era-del-vibe-coding/" TargetMode="External"/><Relationship Id="rId1" Type="http://schemas.openxmlformats.org/officeDocument/2006/relationships/comments" Target="../comments2.xml"/><Relationship Id="rId2" Type="http://schemas.openxmlformats.org/officeDocument/2006/relationships/hyperlink" Target="https://interactius.com/miradas/" TargetMode="External"/><Relationship Id="rId3" Type="http://schemas.openxmlformats.org/officeDocument/2006/relationships/hyperlink" Target="https://interactius.com/contacto" TargetMode="External"/><Relationship Id="rId4" Type="http://schemas.openxmlformats.org/officeDocument/2006/relationships/hyperlink" Target="https://interactius.com/contacto" TargetMode="External"/><Relationship Id="rId9" Type="http://schemas.openxmlformats.org/officeDocument/2006/relationships/hyperlink" Target="https://interactius.com/miradas/el-diseno-ux-y-de-producto-entro-en-una-nueva-era-conversacion-con-antonio-diaz-cueto/" TargetMode="External"/><Relationship Id="rId15" Type="http://schemas.openxmlformats.org/officeDocument/2006/relationships/hyperlink" Target="https://interactius.com/miradas/clonica-no-es-magia-es-research-con-ia-asi-trabajamos-con-usuarios-sinteticos/" TargetMode="External"/><Relationship Id="rId14" Type="http://schemas.openxmlformats.org/officeDocument/2006/relationships/hyperlink" Target="https://interactius.com/miradas/ux-research-con-ia-investigar-antes-decidir-mejor-generar-impacto/" TargetMode="External"/><Relationship Id="rId17" Type="http://schemas.openxmlformats.org/officeDocument/2006/relationships/hyperlink" Target="https://interactius.com/miradas/del-designops-a-la-accesibilidad-y-la-ia-conversacion-con-raul-luque-ibm/" TargetMode="External"/><Relationship Id="rId16" Type="http://schemas.openxmlformats.org/officeDocument/2006/relationships/hyperlink" Target="https://interactius.com/miradas/manifiesto-rebel-el-archivo-vivo-de-voces-que-piden-un-diseno-mas-humano/" TargetMode="External"/><Relationship Id="rId5" Type="http://schemas.openxmlformats.org/officeDocument/2006/relationships/hyperlink" Target="https://interactius.com/contacto" TargetMode="External"/><Relationship Id="rId19" Type="http://schemas.openxmlformats.org/officeDocument/2006/relationships/vmlDrawing" Target="../drawings/vmlDrawing2.vml"/><Relationship Id="rId6" Type="http://schemas.openxmlformats.org/officeDocument/2006/relationships/hyperlink" Target="https://interactius.com/ia/el-proceso-de-diseno-tradicional-esta-muerto-el-nuevo-rol-del-disenador-segun-anthropic/" TargetMode="External"/><Relationship Id="rId18" Type="http://schemas.openxmlformats.org/officeDocument/2006/relationships/drawing" Target="../drawings/drawing4.xml"/><Relationship Id="rId7" Type="http://schemas.openxmlformats.org/officeDocument/2006/relationships/hyperlink" Target="https://interactius.com/miradas/el-proceso-de-diseno-tradicional-esta-muerto-el-nuevo-rol-del-disenador-segun-anthropic/" TargetMode="External"/><Relationship Id="rId8" Type="http://schemas.openxmlformats.org/officeDocument/2006/relationships/hyperlink" Target="https://interactius.com/ia/el-diseno-ux-y-de-producto-entro-en-una-nueva-era-conversacion-con-antonio-diaz-cueto/" TargetMode="Externa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drawing" Target="../drawings/drawing5.xml"/><Relationship Id="rId3" Type="http://schemas.openxmlformats.org/officeDocument/2006/relationships/vmlDrawing" Target="../drawings/vmlDrawing3.v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0.0"/>
    <col customWidth="1" min="2" max="2" width="120.0"/>
    <col customWidth="1" min="3" max="26" width="8.71"/>
  </cols>
  <sheetData>
    <row r="1" ht="27.75" customHeight="1">
      <c r="A1" s="1" t="s">
        <v>0</v>
      </c>
      <c r="B1" s="2" t="s">
        <v>1</v>
      </c>
    </row>
    <row r="2" ht="27.75" customHeight="1">
      <c r="A2" s="1" t="s">
        <v>2</v>
      </c>
      <c r="B2" s="3">
        <v>46128.0</v>
      </c>
    </row>
    <row r="3" ht="27.75" customHeight="1">
      <c r="A3" s="1" t="s">
        <v>3</v>
      </c>
      <c r="B3" s="4" t="s">
        <v>4</v>
      </c>
    </row>
    <row r="4" ht="27.75" customHeight="1">
      <c r="A4" s="1" t="s">
        <v>5</v>
      </c>
      <c r="B4" s="4" t="s">
        <v>6</v>
      </c>
    </row>
    <row r="5" ht="27.75" customHeight="1">
      <c r="A5" s="1" t="s">
        <v>7</v>
      </c>
      <c r="B5" s="4" t="s">
        <v>8</v>
      </c>
    </row>
    <row r="6" ht="27.75" customHeight="1">
      <c r="A6" s="1" t="s">
        <v>9</v>
      </c>
      <c r="B6" s="4" t="s">
        <v>10</v>
      </c>
    </row>
    <row r="7" ht="27.75" customHeight="1">
      <c r="A7" s="1" t="s">
        <v>11</v>
      </c>
      <c r="B7" s="4" t="s">
        <v>12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30.0"/>
    <col customWidth="1" min="2" max="2" width="16.0"/>
    <col customWidth="1" min="3" max="26" width="8.71"/>
  </cols>
  <sheetData>
    <row r="1">
      <c r="A1" s="2" t="s">
        <v>13</v>
      </c>
      <c r="B1" s="2" t="s">
        <v>14</v>
      </c>
    </row>
    <row r="2">
      <c r="A2" s="5" t="s">
        <v>15</v>
      </c>
      <c r="B2" s="6">
        <f>COUNTA(Crawl_actual!A2:A500)</f>
        <v>45</v>
      </c>
    </row>
    <row r="3">
      <c r="A3" s="5" t="s">
        <v>16</v>
      </c>
      <c r="B3" s="6">
        <f>COUNTA(Redirecciones_detectadas!A2:A500)</f>
        <v>10</v>
      </c>
    </row>
    <row r="4">
      <c r="A4" s="5" t="s">
        <v>17</v>
      </c>
      <c r="B4" s="6">
        <f>COUNTA(QA_SEO!A2:A500)</f>
        <v>7</v>
      </c>
    </row>
    <row r="5">
      <c r="A5" s="5" t="s">
        <v>18</v>
      </c>
      <c r="B5" s="6">
        <f>COUNTIF(Crawl_actual!C:C,"Servicio")</f>
        <v>14</v>
      </c>
    </row>
    <row r="6">
      <c r="A6" s="5" t="s">
        <v>19</v>
      </c>
      <c r="B6" s="6">
        <f>COUNTIF(Crawl_actual!C:C,"Caso de estudio")</f>
        <v>6</v>
      </c>
    </row>
    <row r="7">
      <c r="A7" s="5" t="s">
        <v>20</v>
      </c>
      <c r="B7" s="6">
        <f>COUNTIF(Crawl_actual!C:C,"Blog")</f>
        <v>10</v>
      </c>
    </row>
    <row r="8">
      <c r="A8" s="5" t="s">
        <v>21</v>
      </c>
      <c r="B8" s="6">
        <f>COUNTIF(Crawl_actual!C:C,"Landing")</f>
        <v>6</v>
      </c>
    </row>
    <row r="9">
      <c r="A9" s="5" t="s">
        <v>22</v>
      </c>
      <c r="B9" s="6">
        <f>COUNTIF(Crawl_actual!C:C,"Página")</f>
        <v>6</v>
      </c>
    </row>
    <row r="10">
      <c r="A10" s="5" t="s">
        <v>23</v>
      </c>
      <c r="B10" s="6">
        <f>COUNTIF(Crawl_actual!C:C,"Legal")</f>
        <v>1</v>
      </c>
    </row>
    <row r="11">
      <c r="A11" s="5" t="s">
        <v>24</v>
      </c>
      <c r="B11" s="6">
        <f>COUNTIF(Crawl_actual!C:C,"Talento")</f>
        <v>1</v>
      </c>
    </row>
    <row r="12">
      <c r="A12" s="5" t="s">
        <v>25</v>
      </c>
      <c r="B12" s="6">
        <f>COUNTIF(QA_SEO!A:A,"Alta")</f>
        <v>2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66.0"/>
    <col customWidth="1" min="2" max="2" width="42.0"/>
    <col customWidth="1" min="3" max="3" width="18.0"/>
    <col customWidth="1" min="4" max="5" width="20.0"/>
    <col customWidth="1" min="6" max="6" width="35.0"/>
    <col customWidth="1" min="7" max="26" width="8.71"/>
  </cols>
  <sheetData>
    <row r="1">
      <c r="A1" s="2" t="s">
        <v>26</v>
      </c>
      <c r="B1" s="2" t="s">
        <v>27</v>
      </c>
      <c r="C1" s="2" t="s">
        <v>28</v>
      </c>
      <c r="D1" s="2" t="s">
        <v>29</v>
      </c>
      <c r="E1" s="2" t="s">
        <v>30</v>
      </c>
      <c r="F1" s="2" t="s">
        <v>31</v>
      </c>
    </row>
    <row r="2">
      <c r="A2" s="7" t="s">
        <v>32</v>
      </c>
      <c r="B2" s="8" t="s">
        <v>33</v>
      </c>
      <c r="C2" s="8" t="s">
        <v>34</v>
      </c>
      <c r="D2" s="8" t="s">
        <v>35</v>
      </c>
      <c r="E2" s="8" t="s">
        <v>36</v>
      </c>
      <c r="F2" s="7" t="s">
        <v>32</v>
      </c>
    </row>
    <row r="3">
      <c r="A3" s="7" t="s">
        <v>37</v>
      </c>
      <c r="B3" s="8" t="s">
        <v>38</v>
      </c>
      <c r="C3" s="8" t="s">
        <v>39</v>
      </c>
      <c r="D3" s="8" t="s">
        <v>18</v>
      </c>
      <c r="E3" s="8" t="s">
        <v>36</v>
      </c>
      <c r="F3" s="7" t="s">
        <v>32</v>
      </c>
    </row>
    <row r="4">
      <c r="A4" s="7" t="s">
        <v>40</v>
      </c>
      <c r="B4" s="8" t="s">
        <v>19</v>
      </c>
      <c r="C4" s="8" t="s">
        <v>39</v>
      </c>
      <c r="D4" s="8" t="s">
        <v>19</v>
      </c>
      <c r="E4" s="8" t="s">
        <v>36</v>
      </c>
      <c r="F4" s="7" t="s">
        <v>32</v>
      </c>
    </row>
    <row r="5">
      <c r="A5" s="7" t="s">
        <v>41</v>
      </c>
      <c r="B5" s="8" t="s">
        <v>42</v>
      </c>
      <c r="C5" s="8" t="s">
        <v>39</v>
      </c>
      <c r="D5" s="8" t="s">
        <v>43</v>
      </c>
      <c r="E5" s="8" t="s">
        <v>36</v>
      </c>
      <c r="F5" s="7" t="s">
        <v>32</v>
      </c>
    </row>
    <row r="6">
      <c r="A6" s="7" t="s">
        <v>44</v>
      </c>
      <c r="B6" s="8" t="s">
        <v>45</v>
      </c>
      <c r="C6" s="8" t="s">
        <v>39</v>
      </c>
      <c r="D6" s="8" t="s">
        <v>46</v>
      </c>
      <c r="E6" s="8" t="s">
        <v>36</v>
      </c>
      <c r="F6" s="7" t="s">
        <v>32</v>
      </c>
    </row>
    <row r="7">
      <c r="A7" s="7" t="s">
        <v>47</v>
      </c>
      <c r="B7" s="8" t="s">
        <v>48</v>
      </c>
      <c r="C7" s="8" t="s">
        <v>39</v>
      </c>
      <c r="D7" s="8" t="s">
        <v>24</v>
      </c>
      <c r="E7" s="8" t="s">
        <v>36</v>
      </c>
      <c r="F7" s="7" t="s">
        <v>32</v>
      </c>
    </row>
    <row r="8">
      <c r="A8" s="7" t="s">
        <v>49</v>
      </c>
      <c r="B8" s="8" t="s">
        <v>50</v>
      </c>
      <c r="C8" s="8" t="s">
        <v>39</v>
      </c>
      <c r="D8" s="8" t="s">
        <v>51</v>
      </c>
      <c r="E8" s="8" t="s">
        <v>36</v>
      </c>
      <c r="F8" s="7" t="s">
        <v>32</v>
      </c>
    </row>
    <row r="9">
      <c r="A9" s="7" t="s">
        <v>52</v>
      </c>
      <c r="B9" s="8" t="s">
        <v>53</v>
      </c>
      <c r="C9" s="8" t="s">
        <v>54</v>
      </c>
      <c r="D9" s="8" t="s">
        <v>55</v>
      </c>
      <c r="E9" s="8" t="s">
        <v>36</v>
      </c>
      <c r="F9" s="7" t="s">
        <v>32</v>
      </c>
    </row>
    <row r="10">
      <c r="A10" s="7" t="s">
        <v>56</v>
      </c>
      <c r="B10" s="8" t="s">
        <v>57</v>
      </c>
      <c r="C10" s="8" t="s">
        <v>54</v>
      </c>
      <c r="D10" s="8" t="s">
        <v>58</v>
      </c>
      <c r="E10" s="8" t="s">
        <v>36</v>
      </c>
      <c r="F10" s="7" t="s">
        <v>32</v>
      </c>
    </row>
    <row r="11">
      <c r="A11" s="7" t="s">
        <v>59</v>
      </c>
      <c r="B11" s="8" t="s">
        <v>60</v>
      </c>
      <c r="C11" s="8" t="s">
        <v>54</v>
      </c>
      <c r="D11" s="8" t="s">
        <v>61</v>
      </c>
      <c r="E11" s="8" t="s">
        <v>36</v>
      </c>
      <c r="F11" s="7" t="s">
        <v>32</v>
      </c>
    </row>
    <row r="12">
      <c r="A12" s="7" t="s">
        <v>62</v>
      </c>
      <c r="B12" s="8" t="s">
        <v>63</v>
      </c>
      <c r="C12" s="8" t="s">
        <v>64</v>
      </c>
      <c r="D12" s="8" t="s">
        <v>18</v>
      </c>
      <c r="E12" s="8" t="s">
        <v>18</v>
      </c>
      <c r="F12" s="7" t="s">
        <v>37</v>
      </c>
    </row>
    <row r="13">
      <c r="A13" s="7" t="s">
        <v>65</v>
      </c>
      <c r="B13" s="8" t="s">
        <v>66</v>
      </c>
      <c r="C13" s="8" t="s">
        <v>64</v>
      </c>
      <c r="D13" s="8" t="s">
        <v>18</v>
      </c>
      <c r="E13" s="8" t="s">
        <v>18</v>
      </c>
      <c r="F13" s="7" t="s">
        <v>37</v>
      </c>
    </row>
    <row r="14">
      <c r="A14" s="7" t="s">
        <v>67</v>
      </c>
      <c r="B14" s="8" t="s">
        <v>68</v>
      </c>
      <c r="C14" s="8" t="s">
        <v>64</v>
      </c>
      <c r="D14" s="8" t="s">
        <v>18</v>
      </c>
      <c r="E14" s="8" t="s">
        <v>18</v>
      </c>
      <c r="F14" s="7" t="s">
        <v>37</v>
      </c>
    </row>
    <row r="15">
      <c r="A15" s="7" t="s">
        <v>69</v>
      </c>
      <c r="B15" s="8" t="s">
        <v>70</v>
      </c>
      <c r="C15" s="8" t="s">
        <v>64</v>
      </c>
      <c r="D15" s="8" t="s">
        <v>18</v>
      </c>
      <c r="E15" s="8" t="s">
        <v>18</v>
      </c>
      <c r="F15" s="7" t="s">
        <v>37</v>
      </c>
    </row>
    <row r="16">
      <c r="A16" s="7" t="s">
        <v>71</v>
      </c>
      <c r="B16" s="8" t="s">
        <v>72</v>
      </c>
      <c r="C16" s="8" t="s">
        <v>64</v>
      </c>
      <c r="D16" s="8" t="s">
        <v>18</v>
      </c>
      <c r="E16" s="8" t="s">
        <v>18</v>
      </c>
      <c r="F16" s="7" t="s">
        <v>37</v>
      </c>
    </row>
    <row r="17">
      <c r="A17" s="7" t="s">
        <v>73</v>
      </c>
      <c r="B17" s="8" t="s">
        <v>74</v>
      </c>
      <c r="C17" s="8" t="s">
        <v>64</v>
      </c>
      <c r="D17" s="8" t="s">
        <v>18</v>
      </c>
      <c r="E17" s="8" t="s">
        <v>18</v>
      </c>
      <c r="F17" s="7" t="s">
        <v>37</v>
      </c>
    </row>
    <row r="18">
      <c r="A18" s="7" t="s">
        <v>75</v>
      </c>
      <c r="B18" s="8" t="s">
        <v>76</v>
      </c>
      <c r="C18" s="8" t="s">
        <v>64</v>
      </c>
      <c r="D18" s="8" t="s">
        <v>18</v>
      </c>
      <c r="E18" s="8" t="s">
        <v>18</v>
      </c>
      <c r="F18" s="7" t="s">
        <v>37</v>
      </c>
    </row>
    <row r="19">
      <c r="A19" s="7" t="s">
        <v>77</v>
      </c>
      <c r="B19" s="8" t="s">
        <v>78</v>
      </c>
      <c r="C19" s="8" t="s">
        <v>64</v>
      </c>
      <c r="D19" s="8" t="s">
        <v>18</v>
      </c>
      <c r="E19" s="8" t="s">
        <v>18</v>
      </c>
      <c r="F19" s="7" t="s">
        <v>37</v>
      </c>
    </row>
    <row r="20">
      <c r="A20" s="7" t="s">
        <v>79</v>
      </c>
      <c r="B20" s="8" t="s">
        <v>80</v>
      </c>
      <c r="C20" s="8" t="s">
        <v>64</v>
      </c>
      <c r="D20" s="8" t="s">
        <v>18</v>
      </c>
      <c r="E20" s="8" t="s">
        <v>18</v>
      </c>
      <c r="F20" s="7" t="s">
        <v>37</v>
      </c>
    </row>
    <row r="21" ht="15.75" customHeight="1">
      <c r="A21" s="7" t="s">
        <v>81</v>
      </c>
      <c r="B21" s="8" t="s">
        <v>82</v>
      </c>
      <c r="C21" s="8" t="s">
        <v>64</v>
      </c>
      <c r="D21" s="8" t="s">
        <v>18</v>
      </c>
      <c r="E21" s="8" t="s">
        <v>18</v>
      </c>
      <c r="F21" s="7" t="s">
        <v>37</v>
      </c>
    </row>
    <row r="22" ht="15.75" customHeight="1">
      <c r="A22" s="7" t="s">
        <v>83</v>
      </c>
      <c r="B22" s="8" t="s">
        <v>84</v>
      </c>
      <c r="C22" s="8" t="s">
        <v>64</v>
      </c>
      <c r="D22" s="8" t="s">
        <v>18</v>
      </c>
      <c r="E22" s="8" t="s">
        <v>18</v>
      </c>
      <c r="F22" s="7" t="s">
        <v>37</v>
      </c>
    </row>
    <row r="23" ht="15.75" customHeight="1">
      <c r="A23" s="7" t="s">
        <v>85</v>
      </c>
      <c r="B23" s="8" t="s">
        <v>86</v>
      </c>
      <c r="C23" s="8" t="s">
        <v>64</v>
      </c>
      <c r="D23" s="8" t="s">
        <v>18</v>
      </c>
      <c r="E23" s="8" t="s">
        <v>18</v>
      </c>
      <c r="F23" s="7" t="s">
        <v>37</v>
      </c>
    </row>
    <row r="24" ht="15.75" customHeight="1">
      <c r="A24" s="7" t="s">
        <v>87</v>
      </c>
      <c r="B24" s="8" t="s">
        <v>88</v>
      </c>
      <c r="C24" s="8" t="s">
        <v>64</v>
      </c>
      <c r="D24" s="8" t="s">
        <v>18</v>
      </c>
      <c r="E24" s="8" t="s">
        <v>18</v>
      </c>
      <c r="F24" s="7" t="s">
        <v>37</v>
      </c>
    </row>
    <row r="25" ht="15.75" customHeight="1">
      <c r="A25" s="7" t="s">
        <v>89</v>
      </c>
      <c r="B25" s="8" t="s">
        <v>90</v>
      </c>
      <c r="C25" s="8" t="s">
        <v>64</v>
      </c>
      <c r="D25" s="8" t="s">
        <v>18</v>
      </c>
      <c r="E25" s="8" t="s">
        <v>18</v>
      </c>
      <c r="F25" s="7" t="s">
        <v>37</v>
      </c>
    </row>
    <row r="26" ht="15.75" customHeight="1">
      <c r="A26" s="7" t="s">
        <v>91</v>
      </c>
      <c r="B26" s="8" t="s">
        <v>24</v>
      </c>
      <c r="C26" s="8" t="s">
        <v>54</v>
      </c>
      <c r="D26" s="8" t="s">
        <v>18</v>
      </c>
      <c r="E26" s="8" t="s">
        <v>92</v>
      </c>
      <c r="F26" s="7" t="s">
        <v>91</v>
      </c>
    </row>
    <row r="27" ht="15.75" customHeight="1">
      <c r="A27" s="7" t="s">
        <v>93</v>
      </c>
      <c r="B27" s="8" t="s">
        <v>94</v>
      </c>
      <c r="C27" s="8" t="s">
        <v>54</v>
      </c>
      <c r="D27" s="8" t="s">
        <v>95</v>
      </c>
      <c r="E27" s="8" t="s">
        <v>92</v>
      </c>
      <c r="F27" s="7" t="s">
        <v>93</v>
      </c>
    </row>
    <row r="28" ht="15.75" customHeight="1">
      <c r="A28" s="7" t="s">
        <v>96</v>
      </c>
      <c r="B28" s="8" t="s">
        <v>97</v>
      </c>
      <c r="C28" s="8" t="s">
        <v>54</v>
      </c>
      <c r="D28" s="8" t="s">
        <v>95</v>
      </c>
      <c r="E28" s="8" t="s">
        <v>92</v>
      </c>
      <c r="F28" s="7" t="s">
        <v>96</v>
      </c>
    </row>
    <row r="29" ht="15.75" customHeight="1">
      <c r="A29" s="7" t="s">
        <v>98</v>
      </c>
      <c r="B29" s="8" t="s">
        <v>99</v>
      </c>
      <c r="C29" s="8" t="s">
        <v>100</v>
      </c>
      <c r="D29" s="8" t="s">
        <v>19</v>
      </c>
      <c r="E29" s="8" t="s">
        <v>19</v>
      </c>
      <c r="F29" s="7" t="s">
        <v>40</v>
      </c>
    </row>
    <row r="30" ht="15.75" customHeight="1">
      <c r="A30" s="7" t="s">
        <v>101</v>
      </c>
      <c r="B30" s="8" t="s">
        <v>102</v>
      </c>
      <c r="C30" s="8" t="s">
        <v>100</v>
      </c>
      <c r="D30" s="8" t="s">
        <v>19</v>
      </c>
      <c r="E30" s="8" t="s">
        <v>19</v>
      </c>
      <c r="F30" s="7" t="s">
        <v>40</v>
      </c>
    </row>
    <row r="31" ht="15.75" customHeight="1">
      <c r="A31" s="7" t="s">
        <v>103</v>
      </c>
      <c r="B31" s="8" t="s">
        <v>104</v>
      </c>
      <c r="C31" s="8" t="s">
        <v>100</v>
      </c>
      <c r="D31" s="8" t="s">
        <v>19</v>
      </c>
      <c r="E31" s="8" t="s">
        <v>19</v>
      </c>
      <c r="F31" s="7" t="s">
        <v>40</v>
      </c>
    </row>
    <row r="32" ht="15.75" customHeight="1">
      <c r="A32" s="7" t="s">
        <v>105</v>
      </c>
      <c r="B32" s="8" t="s">
        <v>106</v>
      </c>
      <c r="C32" s="8" t="s">
        <v>100</v>
      </c>
      <c r="D32" s="8" t="s">
        <v>19</v>
      </c>
      <c r="E32" s="8" t="s">
        <v>19</v>
      </c>
      <c r="F32" s="7" t="s">
        <v>40</v>
      </c>
    </row>
    <row r="33" ht="15.75" customHeight="1">
      <c r="A33" s="7" t="s">
        <v>107</v>
      </c>
      <c r="B33" s="8" t="s">
        <v>108</v>
      </c>
      <c r="C33" s="8" t="s">
        <v>100</v>
      </c>
      <c r="D33" s="8" t="s">
        <v>19</v>
      </c>
      <c r="E33" s="8" t="s">
        <v>19</v>
      </c>
      <c r="F33" s="7" t="s">
        <v>40</v>
      </c>
    </row>
    <row r="34" ht="15.75" customHeight="1">
      <c r="A34" s="7" t="s">
        <v>109</v>
      </c>
      <c r="B34" s="8" t="s">
        <v>110</v>
      </c>
      <c r="C34" s="8" t="s">
        <v>100</v>
      </c>
      <c r="D34" s="8" t="s">
        <v>19</v>
      </c>
      <c r="E34" s="8" t="s">
        <v>19</v>
      </c>
      <c r="F34" s="7" t="s">
        <v>40</v>
      </c>
    </row>
    <row r="35" ht="15.75" customHeight="1">
      <c r="A35" s="7" t="s">
        <v>111</v>
      </c>
      <c r="B35" s="8" t="s">
        <v>112</v>
      </c>
      <c r="C35" s="8" t="s">
        <v>51</v>
      </c>
      <c r="D35" s="8" t="s">
        <v>51</v>
      </c>
      <c r="E35" s="8" t="s">
        <v>51</v>
      </c>
      <c r="F35" s="7" t="s">
        <v>49</v>
      </c>
    </row>
    <row r="36" ht="15.75" customHeight="1">
      <c r="A36" s="7" t="s">
        <v>113</v>
      </c>
      <c r="B36" s="8" t="s">
        <v>114</v>
      </c>
      <c r="C36" s="8" t="s">
        <v>51</v>
      </c>
      <c r="D36" s="8" t="s">
        <v>51</v>
      </c>
      <c r="E36" s="8" t="s">
        <v>51</v>
      </c>
      <c r="F36" s="7" t="s">
        <v>49</v>
      </c>
    </row>
    <row r="37" ht="15.75" customHeight="1">
      <c r="A37" s="7" t="s">
        <v>115</v>
      </c>
      <c r="B37" s="8" t="s">
        <v>116</v>
      </c>
      <c r="C37" s="8" t="s">
        <v>51</v>
      </c>
      <c r="D37" s="8" t="s">
        <v>51</v>
      </c>
      <c r="E37" s="8" t="s">
        <v>51</v>
      </c>
      <c r="F37" s="7" t="s">
        <v>49</v>
      </c>
    </row>
    <row r="38" ht="15.75" customHeight="1">
      <c r="A38" s="7" t="s">
        <v>117</v>
      </c>
      <c r="B38" s="8" t="s">
        <v>118</v>
      </c>
      <c r="C38" s="8" t="s">
        <v>51</v>
      </c>
      <c r="D38" s="8" t="s">
        <v>51</v>
      </c>
      <c r="E38" s="8" t="s">
        <v>51</v>
      </c>
      <c r="F38" s="7" t="s">
        <v>49</v>
      </c>
    </row>
    <row r="39" ht="15.75" customHeight="1">
      <c r="A39" s="7" t="s">
        <v>119</v>
      </c>
      <c r="B39" s="8" t="s">
        <v>120</v>
      </c>
      <c r="C39" s="8" t="s">
        <v>51</v>
      </c>
      <c r="D39" s="8" t="s">
        <v>51</v>
      </c>
      <c r="E39" s="8" t="s">
        <v>51</v>
      </c>
      <c r="F39" s="7" t="s">
        <v>49</v>
      </c>
    </row>
    <row r="40" ht="15.75" customHeight="1">
      <c r="A40" s="7" t="s">
        <v>121</v>
      </c>
      <c r="B40" s="8" t="s">
        <v>122</v>
      </c>
      <c r="C40" s="8" t="s">
        <v>51</v>
      </c>
      <c r="D40" s="8" t="s">
        <v>51</v>
      </c>
      <c r="E40" s="8" t="s">
        <v>51</v>
      </c>
      <c r="F40" s="7" t="s">
        <v>49</v>
      </c>
    </row>
    <row r="41" ht="15.75" customHeight="1">
      <c r="A41" s="7" t="s">
        <v>123</v>
      </c>
      <c r="B41" s="8" t="s">
        <v>124</v>
      </c>
      <c r="C41" s="8" t="s">
        <v>51</v>
      </c>
      <c r="D41" s="8" t="s">
        <v>51</v>
      </c>
      <c r="E41" s="8" t="s">
        <v>51</v>
      </c>
      <c r="F41" s="7" t="s">
        <v>49</v>
      </c>
    </row>
    <row r="42" ht="15.75" customHeight="1">
      <c r="A42" s="7" t="s">
        <v>125</v>
      </c>
      <c r="B42" s="8" t="s">
        <v>126</v>
      </c>
      <c r="C42" s="8" t="s">
        <v>51</v>
      </c>
      <c r="D42" s="8" t="s">
        <v>51</v>
      </c>
      <c r="E42" s="8" t="s">
        <v>51</v>
      </c>
      <c r="F42" s="7" t="s">
        <v>49</v>
      </c>
    </row>
    <row r="43" ht="15.75" customHeight="1">
      <c r="A43" s="7" t="s">
        <v>127</v>
      </c>
      <c r="B43" s="8" t="s">
        <v>128</v>
      </c>
      <c r="C43" s="8" t="s">
        <v>51</v>
      </c>
      <c r="D43" s="8" t="s">
        <v>51</v>
      </c>
      <c r="E43" s="8" t="s">
        <v>51</v>
      </c>
      <c r="F43" s="7" t="s">
        <v>49</v>
      </c>
    </row>
    <row r="44" ht="15.75" customHeight="1">
      <c r="A44" s="7" t="s">
        <v>129</v>
      </c>
      <c r="B44" s="8" t="s">
        <v>130</v>
      </c>
      <c r="C44" s="8" t="s">
        <v>51</v>
      </c>
      <c r="D44" s="8" t="s">
        <v>51</v>
      </c>
      <c r="E44" s="8" t="s">
        <v>51</v>
      </c>
      <c r="F44" s="7" t="s">
        <v>49</v>
      </c>
    </row>
    <row r="45" ht="15.75" customHeight="1">
      <c r="A45" s="7" t="s">
        <v>131</v>
      </c>
      <c r="B45" s="8" t="s">
        <v>132</v>
      </c>
      <c r="C45" s="8" t="s">
        <v>133</v>
      </c>
      <c r="D45" s="8" t="s">
        <v>133</v>
      </c>
      <c r="E45" s="8" t="s">
        <v>134</v>
      </c>
      <c r="F45" s="7" t="s">
        <v>32</v>
      </c>
    </row>
    <row r="46" ht="15.75" customHeight="1">
      <c r="A46" s="7" t="s">
        <v>135</v>
      </c>
      <c r="B46" s="8" t="s">
        <v>136</v>
      </c>
      <c r="C46" s="8" t="s">
        <v>24</v>
      </c>
      <c r="D46" s="8" t="s">
        <v>24</v>
      </c>
      <c r="E46" s="8" t="s">
        <v>137</v>
      </c>
      <c r="F46" s="7" t="s">
        <v>47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48.57"/>
    <col customWidth="1" min="2" max="2" width="18.0"/>
    <col customWidth="1" min="3" max="3" width="38.0"/>
    <col customWidth="1" min="4" max="4" width="33.29"/>
    <col customWidth="1" min="5" max="5" width="16.0"/>
    <col customWidth="1" min="6" max="6" width="10.0"/>
    <col customWidth="1" min="7" max="7" width="12.0"/>
    <col customWidth="1" min="8" max="8" width="18.0"/>
    <col customWidth="1" min="9" max="9" width="14.0"/>
    <col customWidth="1" min="10" max="10" width="32.0"/>
    <col customWidth="1" min="11" max="26" width="8.71"/>
  </cols>
  <sheetData>
    <row r="1">
      <c r="A1" s="2" t="s">
        <v>26</v>
      </c>
      <c r="B1" s="2" t="s">
        <v>28</v>
      </c>
      <c r="C1" s="2" t="s">
        <v>138</v>
      </c>
      <c r="D1" s="2" t="s">
        <v>139</v>
      </c>
      <c r="E1" s="2" t="s">
        <v>140</v>
      </c>
      <c r="F1" s="2" t="s">
        <v>141</v>
      </c>
      <c r="G1" s="2" t="s">
        <v>142</v>
      </c>
      <c r="H1" s="2" t="s">
        <v>143</v>
      </c>
      <c r="I1" s="2" t="s">
        <v>144</v>
      </c>
      <c r="J1" s="2" t="s">
        <v>145</v>
      </c>
    </row>
    <row r="2">
      <c r="A2" s="7" t="s">
        <v>32</v>
      </c>
      <c r="B2" s="8" t="s">
        <v>34</v>
      </c>
      <c r="C2" s="8" t="s">
        <v>33</v>
      </c>
      <c r="D2" s="9" t="s">
        <v>32</v>
      </c>
      <c r="E2" s="10" t="s">
        <v>146</v>
      </c>
      <c r="F2" s="11" t="s">
        <v>147</v>
      </c>
      <c r="G2" s="6" t="str">
        <f t="shared" ref="G2:G46" si="1">IF(OR(B2="Home",B2="Servicio",B2="Caso de estudio",B2="Blog"),"Alta",IF(OR(B2="Página",B2="Landing",B2="Talento"),"Media","Baja"))</f>
        <v>Alta</v>
      </c>
      <c r="H2" s="11" t="s">
        <v>148</v>
      </c>
      <c r="I2" s="10" t="s">
        <v>149</v>
      </c>
      <c r="J2" s="11" t="s">
        <v>148</v>
      </c>
    </row>
    <row r="3">
      <c r="A3" s="7" t="s">
        <v>37</v>
      </c>
      <c r="B3" s="8" t="s">
        <v>39</v>
      </c>
      <c r="C3" s="8" t="s">
        <v>38</v>
      </c>
      <c r="D3" s="9" t="s">
        <v>32</v>
      </c>
      <c r="E3" s="10" t="s">
        <v>150</v>
      </c>
      <c r="F3" s="11" t="s">
        <v>147</v>
      </c>
      <c r="G3" s="6" t="str">
        <f t="shared" si="1"/>
        <v>Media</v>
      </c>
      <c r="H3" s="11" t="s">
        <v>148</v>
      </c>
      <c r="I3" s="10" t="s">
        <v>149</v>
      </c>
      <c r="J3" s="11" t="s">
        <v>148</v>
      </c>
    </row>
    <row r="4">
      <c r="A4" s="7" t="s">
        <v>40</v>
      </c>
      <c r="B4" s="8" t="s">
        <v>39</v>
      </c>
      <c r="C4" s="8" t="s">
        <v>19</v>
      </c>
      <c r="D4" s="9" t="s">
        <v>32</v>
      </c>
      <c r="E4" s="10" t="s">
        <v>150</v>
      </c>
      <c r="F4" s="11" t="s">
        <v>147</v>
      </c>
      <c r="G4" s="6" t="str">
        <f t="shared" si="1"/>
        <v>Media</v>
      </c>
      <c r="H4" s="11" t="s">
        <v>148</v>
      </c>
      <c r="I4" s="10" t="s">
        <v>149</v>
      </c>
      <c r="J4" s="11" t="s">
        <v>148</v>
      </c>
    </row>
    <row r="5">
      <c r="A5" s="7" t="s">
        <v>41</v>
      </c>
      <c r="B5" s="8" t="s">
        <v>39</v>
      </c>
      <c r="C5" s="8" t="s">
        <v>42</v>
      </c>
      <c r="D5" s="9" t="s">
        <v>41</v>
      </c>
      <c r="E5" s="10" t="s">
        <v>146</v>
      </c>
      <c r="F5" s="11" t="s">
        <v>147</v>
      </c>
      <c r="G5" s="6" t="str">
        <f t="shared" si="1"/>
        <v>Media</v>
      </c>
      <c r="H5" s="11" t="s">
        <v>148</v>
      </c>
      <c r="I5" s="10" t="s">
        <v>149</v>
      </c>
      <c r="J5" s="11" t="s">
        <v>148</v>
      </c>
    </row>
    <row r="6">
      <c r="A6" s="7" t="s">
        <v>44</v>
      </c>
      <c r="B6" s="8" t="s">
        <v>39</v>
      </c>
      <c r="C6" s="8" t="s">
        <v>45</v>
      </c>
      <c r="D6" s="9" t="s">
        <v>41</v>
      </c>
      <c r="E6" s="10" t="s">
        <v>146</v>
      </c>
      <c r="F6" s="11" t="s">
        <v>147</v>
      </c>
      <c r="G6" s="6" t="str">
        <f t="shared" si="1"/>
        <v>Media</v>
      </c>
      <c r="H6" s="11" t="s">
        <v>148</v>
      </c>
      <c r="I6" s="10" t="s">
        <v>149</v>
      </c>
      <c r="J6" s="11" t="s">
        <v>148</v>
      </c>
    </row>
    <row r="7">
      <c r="A7" s="7" t="s">
        <v>47</v>
      </c>
      <c r="B7" s="8" t="s">
        <v>39</v>
      </c>
      <c r="C7" s="8" t="s">
        <v>48</v>
      </c>
      <c r="D7" s="9" t="s">
        <v>41</v>
      </c>
      <c r="E7" s="10" t="s">
        <v>146</v>
      </c>
      <c r="F7" s="11" t="s">
        <v>147</v>
      </c>
      <c r="G7" s="6" t="str">
        <f t="shared" si="1"/>
        <v>Media</v>
      </c>
      <c r="H7" s="11" t="s">
        <v>148</v>
      </c>
      <c r="I7" s="10" t="s">
        <v>149</v>
      </c>
      <c r="J7" s="11" t="s">
        <v>148</v>
      </c>
    </row>
    <row r="8">
      <c r="A8" s="7" t="s">
        <v>49</v>
      </c>
      <c r="B8" s="8" t="s">
        <v>39</v>
      </c>
      <c r="C8" s="8" t="s">
        <v>50</v>
      </c>
      <c r="D8" s="12" t="s">
        <v>151</v>
      </c>
      <c r="E8" s="10" t="s">
        <v>146</v>
      </c>
      <c r="F8" s="11" t="s">
        <v>147</v>
      </c>
      <c r="G8" s="6" t="str">
        <f t="shared" si="1"/>
        <v>Media</v>
      </c>
      <c r="H8" s="11" t="s">
        <v>148</v>
      </c>
      <c r="I8" s="10" t="s">
        <v>149</v>
      </c>
      <c r="J8" s="11" t="s">
        <v>148</v>
      </c>
    </row>
    <row r="9">
      <c r="A9" s="7" t="s">
        <v>52</v>
      </c>
      <c r="B9" s="8" t="s">
        <v>54</v>
      </c>
      <c r="C9" s="8" t="s">
        <v>53</v>
      </c>
      <c r="D9" s="9" t="s">
        <v>32</v>
      </c>
      <c r="E9" s="10" t="s">
        <v>150</v>
      </c>
      <c r="F9" s="11" t="s">
        <v>147</v>
      </c>
      <c r="G9" s="6" t="str">
        <f t="shared" si="1"/>
        <v>Media</v>
      </c>
      <c r="H9" s="11" t="s">
        <v>148</v>
      </c>
      <c r="I9" s="10" t="s">
        <v>149</v>
      </c>
      <c r="J9" s="11" t="s">
        <v>148</v>
      </c>
    </row>
    <row r="10">
      <c r="A10" s="7" t="s">
        <v>56</v>
      </c>
      <c r="B10" s="8" t="s">
        <v>54</v>
      </c>
      <c r="C10" s="8" t="s">
        <v>57</v>
      </c>
      <c r="D10" s="9" t="s">
        <v>32</v>
      </c>
      <c r="E10" s="10" t="s">
        <v>150</v>
      </c>
      <c r="F10" s="11" t="s">
        <v>147</v>
      </c>
      <c r="G10" s="6" t="str">
        <f t="shared" si="1"/>
        <v>Media</v>
      </c>
      <c r="H10" s="11" t="s">
        <v>148</v>
      </c>
      <c r="I10" s="10" t="s">
        <v>149</v>
      </c>
      <c r="J10" s="11" t="s">
        <v>148</v>
      </c>
    </row>
    <row r="11">
      <c r="A11" s="7" t="s">
        <v>59</v>
      </c>
      <c r="B11" s="8" t="s">
        <v>54</v>
      </c>
      <c r="C11" s="8" t="s">
        <v>60</v>
      </c>
      <c r="D11" s="9" t="s">
        <v>32</v>
      </c>
      <c r="E11" s="10" t="s">
        <v>150</v>
      </c>
      <c r="F11" s="11" t="s">
        <v>147</v>
      </c>
      <c r="G11" s="6" t="str">
        <f t="shared" si="1"/>
        <v>Media</v>
      </c>
      <c r="H11" s="11" t="s">
        <v>148</v>
      </c>
      <c r="I11" s="10" t="s">
        <v>149</v>
      </c>
      <c r="J11" s="11" t="s">
        <v>148</v>
      </c>
    </row>
    <row r="12">
      <c r="A12" s="7" t="s">
        <v>62</v>
      </c>
      <c r="B12" s="8" t="s">
        <v>64</v>
      </c>
      <c r="C12" s="8" t="s">
        <v>63</v>
      </c>
      <c r="D12" s="9" t="s">
        <v>32</v>
      </c>
      <c r="E12" s="10" t="s">
        <v>150</v>
      </c>
      <c r="F12" s="11" t="s">
        <v>147</v>
      </c>
      <c r="G12" s="6" t="str">
        <f t="shared" si="1"/>
        <v>Alta</v>
      </c>
      <c r="H12" s="11" t="s">
        <v>148</v>
      </c>
      <c r="I12" s="10" t="s">
        <v>149</v>
      </c>
      <c r="J12" s="11" t="s">
        <v>148</v>
      </c>
    </row>
    <row r="13">
      <c r="A13" s="7" t="s">
        <v>65</v>
      </c>
      <c r="B13" s="8" t="s">
        <v>64</v>
      </c>
      <c r="C13" s="8" t="s">
        <v>66</v>
      </c>
      <c r="D13" s="9" t="s">
        <v>32</v>
      </c>
      <c r="E13" s="10" t="s">
        <v>150</v>
      </c>
      <c r="F13" s="11" t="s">
        <v>147</v>
      </c>
      <c r="G13" s="6" t="str">
        <f t="shared" si="1"/>
        <v>Alta</v>
      </c>
      <c r="H13" s="11" t="s">
        <v>148</v>
      </c>
      <c r="I13" s="10" t="s">
        <v>149</v>
      </c>
      <c r="J13" s="11" t="s">
        <v>148</v>
      </c>
    </row>
    <row r="14">
      <c r="A14" s="7" t="s">
        <v>67</v>
      </c>
      <c r="B14" s="8" t="s">
        <v>64</v>
      </c>
      <c r="C14" s="8" t="s">
        <v>68</v>
      </c>
      <c r="D14" s="9" t="s">
        <v>32</v>
      </c>
      <c r="E14" s="10" t="s">
        <v>150</v>
      </c>
      <c r="F14" s="11" t="s">
        <v>147</v>
      </c>
      <c r="G14" s="6" t="str">
        <f t="shared" si="1"/>
        <v>Alta</v>
      </c>
      <c r="H14" s="11" t="s">
        <v>148</v>
      </c>
      <c r="I14" s="10" t="s">
        <v>149</v>
      </c>
      <c r="J14" s="11" t="s">
        <v>148</v>
      </c>
    </row>
    <row r="15">
      <c r="A15" s="7" t="s">
        <v>69</v>
      </c>
      <c r="B15" s="8" t="s">
        <v>64</v>
      </c>
      <c r="C15" s="8" t="s">
        <v>70</v>
      </c>
      <c r="D15" s="9" t="s">
        <v>32</v>
      </c>
      <c r="E15" s="10" t="s">
        <v>150</v>
      </c>
      <c r="F15" s="11" t="s">
        <v>147</v>
      </c>
      <c r="G15" s="6" t="str">
        <f t="shared" si="1"/>
        <v>Alta</v>
      </c>
      <c r="H15" s="11" t="s">
        <v>148</v>
      </c>
      <c r="I15" s="10" t="s">
        <v>149</v>
      </c>
      <c r="J15" s="11" t="s">
        <v>148</v>
      </c>
    </row>
    <row r="16">
      <c r="A16" s="7" t="s">
        <v>71</v>
      </c>
      <c r="B16" s="8" t="s">
        <v>64</v>
      </c>
      <c r="C16" s="8" t="s">
        <v>72</v>
      </c>
      <c r="D16" s="9" t="s">
        <v>32</v>
      </c>
      <c r="E16" s="10" t="s">
        <v>150</v>
      </c>
      <c r="F16" s="11" t="s">
        <v>147</v>
      </c>
      <c r="G16" s="6" t="str">
        <f t="shared" si="1"/>
        <v>Alta</v>
      </c>
      <c r="H16" s="11" t="s">
        <v>148</v>
      </c>
      <c r="I16" s="10" t="s">
        <v>149</v>
      </c>
      <c r="J16" s="11" t="s">
        <v>148</v>
      </c>
    </row>
    <row r="17">
      <c r="A17" s="7" t="s">
        <v>73</v>
      </c>
      <c r="B17" s="8" t="s">
        <v>64</v>
      </c>
      <c r="C17" s="8" t="s">
        <v>74</v>
      </c>
      <c r="D17" s="9" t="s">
        <v>32</v>
      </c>
      <c r="E17" s="10" t="s">
        <v>150</v>
      </c>
      <c r="F17" s="11" t="s">
        <v>147</v>
      </c>
      <c r="G17" s="6" t="str">
        <f t="shared" si="1"/>
        <v>Alta</v>
      </c>
      <c r="H17" s="11" t="s">
        <v>148</v>
      </c>
      <c r="I17" s="10" t="s">
        <v>149</v>
      </c>
      <c r="J17" s="11" t="s">
        <v>148</v>
      </c>
    </row>
    <row r="18">
      <c r="A18" s="7" t="s">
        <v>75</v>
      </c>
      <c r="B18" s="8" t="s">
        <v>64</v>
      </c>
      <c r="C18" s="8" t="s">
        <v>76</v>
      </c>
      <c r="D18" s="9" t="s">
        <v>32</v>
      </c>
      <c r="E18" s="10" t="s">
        <v>150</v>
      </c>
      <c r="F18" s="11" t="s">
        <v>147</v>
      </c>
      <c r="G18" s="6" t="str">
        <f t="shared" si="1"/>
        <v>Alta</v>
      </c>
      <c r="H18" s="11" t="s">
        <v>148</v>
      </c>
      <c r="I18" s="10" t="s">
        <v>149</v>
      </c>
      <c r="J18" s="11" t="s">
        <v>148</v>
      </c>
    </row>
    <row r="19">
      <c r="A19" s="7" t="s">
        <v>77</v>
      </c>
      <c r="B19" s="8" t="s">
        <v>64</v>
      </c>
      <c r="C19" s="8" t="s">
        <v>78</v>
      </c>
      <c r="D19" s="9" t="s">
        <v>32</v>
      </c>
      <c r="E19" s="10" t="s">
        <v>150</v>
      </c>
      <c r="F19" s="11" t="s">
        <v>147</v>
      </c>
      <c r="G19" s="6" t="str">
        <f t="shared" si="1"/>
        <v>Alta</v>
      </c>
      <c r="H19" s="11" t="s">
        <v>148</v>
      </c>
      <c r="I19" s="10" t="s">
        <v>149</v>
      </c>
      <c r="J19" s="11" t="s">
        <v>148</v>
      </c>
    </row>
    <row r="20">
      <c r="A20" s="7" t="s">
        <v>79</v>
      </c>
      <c r="B20" s="8" t="s">
        <v>64</v>
      </c>
      <c r="C20" s="8" t="s">
        <v>80</v>
      </c>
      <c r="D20" s="9" t="s">
        <v>32</v>
      </c>
      <c r="E20" s="10" t="s">
        <v>150</v>
      </c>
      <c r="F20" s="11" t="s">
        <v>147</v>
      </c>
      <c r="G20" s="6" t="str">
        <f t="shared" si="1"/>
        <v>Alta</v>
      </c>
      <c r="H20" s="11" t="s">
        <v>148</v>
      </c>
      <c r="I20" s="10" t="s">
        <v>149</v>
      </c>
      <c r="J20" s="11" t="s">
        <v>148</v>
      </c>
    </row>
    <row r="21" ht="15.75" customHeight="1">
      <c r="A21" s="7" t="s">
        <v>81</v>
      </c>
      <c r="B21" s="8" t="s">
        <v>64</v>
      </c>
      <c r="C21" s="8" t="s">
        <v>82</v>
      </c>
      <c r="D21" s="9" t="s">
        <v>32</v>
      </c>
      <c r="E21" s="10" t="s">
        <v>150</v>
      </c>
      <c r="F21" s="11" t="s">
        <v>147</v>
      </c>
      <c r="G21" s="6" t="str">
        <f t="shared" si="1"/>
        <v>Alta</v>
      </c>
      <c r="H21" s="11" t="s">
        <v>148</v>
      </c>
      <c r="I21" s="10" t="s">
        <v>149</v>
      </c>
      <c r="J21" s="11" t="s">
        <v>148</v>
      </c>
    </row>
    <row r="22" ht="15.75" customHeight="1">
      <c r="A22" s="7" t="s">
        <v>83</v>
      </c>
      <c r="B22" s="8" t="s">
        <v>64</v>
      </c>
      <c r="C22" s="8" t="s">
        <v>84</v>
      </c>
      <c r="D22" s="9" t="s">
        <v>32</v>
      </c>
      <c r="E22" s="10" t="s">
        <v>150</v>
      </c>
      <c r="F22" s="11" t="s">
        <v>147</v>
      </c>
      <c r="G22" s="6" t="str">
        <f t="shared" si="1"/>
        <v>Alta</v>
      </c>
      <c r="H22" s="11" t="s">
        <v>148</v>
      </c>
      <c r="I22" s="10" t="s">
        <v>149</v>
      </c>
      <c r="J22" s="11" t="s">
        <v>148</v>
      </c>
    </row>
    <row r="23" ht="15.75" customHeight="1">
      <c r="A23" s="7" t="s">
        <v>85</v>
      </c>
      <c r="B23" s="8" t="s">
        <v>64</v>
      </c>
      <c r="C23" s="8" t="s">
        <v>86</v>
      </c>
      <c r="D23" s="9" t="s">
        <v>32</v>
      </c>
      <c r="E23" s="10" t="s">
        <v>150</v>
      </c>
      <c r="F23" s="11" t="s">
        <v>147</v>
      </c>
      <c r="G23" s="6" t="str">
        <f t="shared" si="1"/>
        <v>Alta</v>
      </c>
      <c r="H23" s="11" t="s">
        <v>148</v>
      </c>
      <c r="I23" s="10" t="s">
        <v>149</v>
      </c>
      <c r="J23" s="11" t="s">
        <v>148</v>
      </c>
    </row>
    <row r="24" ht="15.75" customHeight="1">
      <c r="A24" s="7" t="s">
        <v>87</v>
      </c>
      <c r="B24" s="8" t="s">
        <v>64</v>
      </c>
      <c r="C24" s="8" t="s">
        <v>88</v>
      </c>
      <c r="D24" s="9" t="s">
        <v>32</v>
      </c>
      <c r="E24" s="10" t="s">
        <v>150</v>
      </c>
      <c r="F24" s="11" t="s">
        <v>147</v>
      </c>
      <c r="G24" s="6" t="str">
        <f t="shared" si="1"/>
        <v>Alta</v>
      </c>
      <c r="H24" s="11" t="s">
        <v>148</v>
      </c>
      <c r="I24" s="10" t="s">
        <v>149</v>
      </c>
      <c r="J24" s="11" t="s">
        <v>148</v>
      </c>
    </row>
    <row r="25" ht="15.75" customHeight="1">
      <c r="A25" s="7" t="s">
        <v>89</v>
      </c>
      <c r="B25" s="8" t="s">
        <v>64</v>
      </c>
      <c r="C25" s="8" t="s">
        <v>90</v>
      </c>
      <c r="D25" s="9" t="s">
        <v>32</v>
      </c>
      <c r="E25" s="10" t="s">
        <v>150</v>
      </c>
      <c r="F25" s="11" t="s">
        <v>147</v>
      </c>
      <c r="G25" s="6" t="str">
        <f t="shared" si="1"/>
        <v>Alta</v>
      </c>
      <c r="H25" s="11" t="s">
        <v>148</v>
      </c>
      <c r="I25" s="10" t="s">
        <v>149</v>
      </c>
      <c r="J25" s="11" t="s">
        <v>148</v>
      </c>
    </row>
    <row r="26" ht="15.75" customHeight="1">
      <c r="A26" s="7" t="s">
        <v>91</v>
      </c>
      <c r="B26" s="8" t="s">
        <v>54</v>
      </c>
      <c r="C26" s="8" t="s">
        <v>24</v>
      </c>
      <c r="D26" s="12" t="s">
        <v>152</v>
      </c>
      <c r="E26" s="10" t="s">
        <v>150</v>
      </c>
      <c r="F26" s="11" t="s">
        <v>147</v>
      </c>
      <c r="G26" s="6" t="str">
        <f t="shared" si="1"/>
        <v>Media</v>
      </c>
      <c r="H26" s="11" t="s">
        <v>148</v>
      </c>
      <c r="I26" s="10" t="s">
        <v>149</v>
      </c>
      <c r="J26" s="11" t="s">
        <v>148</v>
      </c>
    </row>
    <row r="27" ht="15.75" customHeight="1">
      <c r="A27" s="7" t="s">
        <v>93</v>
      </c>
      <c r="B27" s="8" t="s">
        <v>54</v>
      </c>
      <c r="C27" s="8" t="s">
        <v>94</v>
      </c>
      <c r="D27" s="12" t="s">
        <v>152</v>
      </c>
      <c r="E27" s="10" t="s">
        <v>150</v>
      </c>
      <c r="F27" s="11" t="s">
        <v>147</v>
      </c>
      <c r="G27" s="6" t="str">
        <f t="shared" si="1"/>
        <v>Media</v>
      </c>
      <c r="H27" s="11" t="s">
        <v>148</v>
      </c>
      <c r="I27" s="10" t="s">
        <v>149</v>
      </c>
      <c r="J27" s="11" t="s">
        <v>148</v>
      </c>
    </row>
    <row r="28" ht="15.75" customHeight="1">
      <c r="A28" s="7" t="s">
        <v>96</v>
      </c>
      <c r="B28" s="8" t="s">
        <v>54</v>
      </c>
      <c r="C28" s="8" t="s">
        <v>97</v>
      </c>
      <c r="D28" s="12" t="s">
        <v>152</v>
      </c>
      <c r="E28" s="10" t="s">
        <v>150</v>
      </c>
      <c r="F28" s="11" t="s">
        <v>147</v>
      </c>
      <c r="G28" s="6" t="str">
        <f t="shared" si="1"/>
        <v>Media</v>
      </c>
      <c r="H28" s="11" t="s">
        <v>148</v>
      </c>
      <c r="I28" s="10" t="s">
        <v>149</v>
      </c>
      <c r="J28" s="11" t="s">
        <v>148</v>
      </c>
    </row>
    <row r="29" ht="15.75" customHeight="1">
      <c r="A29" s="7" t="s">
        <v>98</v>
      </c>
      <c r="B29" s="8" t="s">
        <v>100</v>
      </c>
      <c r="C29" s="8" t="s">
        <v>99</v>
      </c>
      <c r="D29" s="9" t="s">
        <v>32</v>
      </c>
      <c r="E29" s="10" t="s">
        <v>150</v>
      </c>
      <c r="F29" s="11" t="s">
        <v>147</v>
      </c>
      <c r="G29" s="6" t="str">
        <f t="shared" si="1"/>
        <v>Alta</v>
      </c>
      <c r="H29" s="11" t="s">
        <v>148</v>
      </c>
      <c r="I29" s="10" t="s">
        <v>149</v>
      </c>
      <c r="J29" s="11" t="s">
        <v>148</v>
      </c>
    </row>
    <row r="30" ht="15.75" customHeight="1">
      <c r="A30" s="7" t="s">
        <v>101</v>
      </c>
      <c r="B30" s="8" t="s">
        <v>100</v>
      </c>
      <c r="C30" s="8" t="s">
        <v>102</v>
      </c>
      <c r="D30" s="9" t="s">
        <v>32</v>
      </c>
      <c r="E30" s="10" t="s">
        <v>150</v>
      </c>
      <c r="F30" s="11" t="s">
        <v>147</v>
      </c>
      <c r="G30" s="6" t="str">
        <f t="shared" si="1"/>
        <v>Alta</v>
      </c>
      <c r="H30" s="11" t="s">
        <v>148</v>
      </c>
      <c r="I30" s="10" t="s">
        <v>149</v>
      </c>
      <c r="J30" s="11" t="s">
        <v>148</v>
      </c>
    </row>
    <row r="31" ht="15.75" customHeight="1">
      <c r="A31" s="7" t="s">
        <v>103</v>
      </c>
      <c r="B31" s="8" t="s">
        <v>100</v>
      </c>
      <c r="C31" s="8" t="s">
        <v>104</v>
      </c>
      <c r="D31" s="9" t="s">
        <v>32</v>
      </c>
      <c r="E31" s="10" t="s">
        <v>150</v>
      </c>
      <c r="F31" s="11" t="s">
        <v>147</v>
      </c>
      <c r="G31" s="6" t="str">
        <f t="shared" si="1"/>
        <v>Alta</v>
      </c>
      <c r="H31" s="11" t="s">
        <v>148</v>
      </c>
      <c r="I31" s="10" t="s">
        <v>149</v>
      </c>
      <c r="J31" s="11" t="s">
        <v>148</v>
      </c>
    </row>
    <row r="32" ht="15.75" customHeight="1">
      <c r="A32" s="7" t="s">
        <v>105</v>
      </c>
      <c r="B32" s="8" t="s">
        <v>100</v>
      </c>
      <c r="C32" s="8" t="s">
        <v>106</v>
      </c>
      <c r="D32" s="9" t="s">
        <v>32</v>
      </c>
      <c r="E32" s="10" t="s">
        <v>150</v>
      </c>
      <c r="F32" s="11" t="s">
        <v>147</v>
      </c>
      <c r="G32" s="6" t="str">
        <f t="shared" si="1"/>
        <v>Alta</v>
      </c>
      <c r="H32" s="11" t="s">
        <v>148</v>
      </c>
      <c r="I32" s="10" t="s">
        <v>149</v>
      </c>
      <c r="J32" s="11" t="s">
        <v>148</v>
      </c>
    </row>
    <row r="33" ht="15.75" customHeight="1">
      <c r="A33" s="7" t="s">
        <v>107</v>
      </c>
      <c r="B33" s="8" t="s">
        <v>100</v>
      </c>
      <c r="C33" s="8" t="s">
        <v>108</v>
      </c>
      <c r="D33" s="9" t="s">
        <v>32</v>
      </c>
      <c r="E33" s="10" t="s">
        <v>150</v>
      </c>
      <c r="F33" s="11" t="s">
        <v>147</v>
      </c>
      <c r="G33" s="6" t="str">
        <f t="shared" si="1"/>
        <v>Alta</v>
      </c>
      <c r="H33" s="11" t="s">
        <v>148</v>
      </c>
      <c r="I33" s="10" t="s">
        <v>149</v>
      </c>
      <c r="J33" s="11" t="s">
        <v>148</v>
      </c>
    </row>
    <row r="34" ht="15.75" customHeight="1">
      <c r="A34" s="7" t="s">
        <v>109</v>
      </c>
      <c r="B34" s="8" t="s">
        <v>100</v>
      </c>
      <c r="C34" s="8" t="s">
        <v>110</v>
      </c>
      <c r="D34" s="9" t="s">
        <v>32</v>
      </c>
      <c r="E34" s="10" t="s">
        <v>150</v>
      </c>
      <c r="F34" s="11" t="s">
        <v>147</v>
      </c>
      <c r="G34" s="6" t="str">
        <f t="shared" si="1"/>
        <v>Alta</v>
      </c>
      <c r="H34" s="11" t="s">
        <v>148</v>
      </c>
      <c r="I34" s="10" t="s">
        <v>149</v>
      </c>
      <c r="J34" s="11" t="s">
        <v>148</v>
      </c>
    </row>
    <row r="35" ht="15.75" customHeight="1">
      <c r="A35" s="13" t="s">
        <v>111</v>
      </c>
      <c r="B35" s="8" t="s">
        <v>51</v>
      </c>
      <c r="C35" s="8" t="s">
        <v>112</v>
      </c>
      <c r="D35" s="12" t="s">
        <v>153</v>
      </c>
      <c r="E35" s="10" t="s">
        <v>146</v>
      </c>
      <c r="F35" s="11" t="s">
        <v>147</v>
      </c>
      <c r="G35" s="6" t="str">
        <f t="shared" si="1"/>
        <v>Alta</v>
      </c>
      <c r="H35" s="11" t="s">
        <v>148</v>
      </c>
      <c r="I35" s="10" t="s">
        <v>149</v>
      </c>
      <c r="J35" s="11" t="s">
        <v>148</v>
      </c>
    </row>
    <row r="36" ht="15.75" customHeight="1">
      <c r="A36" s="13" t="s">
        <v>113</v>
      </c>
      <c r="B36" s="8" t="s">
        <v>51</v>
      </c>
      <c r="C36" s="8" t="s">
        <v>114</v>
      </c>
      <c r="D36" s="12" t="s">
        <v>154</v>
      </c>
      <c r="E36" s="10" t="s">
        <v>146</v>
      </c>
      <c r="F36" s="11" t="s">
        <v>147</v>
      </c>
      <c r="G36" s="6" t="str">
        <f t="shared" si="1"/>
        <v>Alta</v>
      </c>
      <c r="H36" s="11" t="s">
        <v>148</v>
      </c>
      <c r="I36" s="10" t="s">
        <v>149</v>
      </c>
      <c r="J36" s="11" t="s">
        <v>148</v>
      </c>
    </row>
    <row r="37" ht="15.75" customHeight="1">
      <c r="A37" s="7" t="s">
        <v>115</v>
      </c>
      <c r="B37" s="8" t="s">
        <v>51</v>
      </c>
      <c r="C37" s="8" t="s">
        <v>116</v>
      </c>
      <c r="D37" s="12" t="s">
        <v>155</v>
      </c>
      <c r="E37" s="10" t="s">
        <v>146</v>
      </c>
      <c r="F37" s="11" t="s">
        <v>147</v>
      </c>
      <c r="G37" s="6" t="str">
        <f t="shared" si="1"/>
        <v>Alta</v>
      </c>
      <c r="H37" s="11" t="s">
        <v>148</v>
      </c>
      <c r="I37" s="10" t="s">
        <v>149</v>
      </c>
      <c r="J37" s="11" t="s">
        <v>148</v>
      </c>
    </row>
    <row r="38" ht="15.75" customHeight="1">
      <c r="A38" s="13" t="s">
        <v>117</v>
      </c>
      <c r="B38" s="8" t="s">
        <v>51</v>
      </c>
      <c r="C38" s="8" t="s">
        <v>118</v>
      </c>
      <c r="D38" s="12" t="s">
        <v>156</v>
      </c>
      <c r="E38" s="10" t="s">
        <v>146</v>
      </c>
      <c r="F38" s="11" t="s">
        <v>147</v>
      </c>
      <c r="G38" s="6" t="str">
        <f t="shared" si="1"/>
        <v>Alta</v>
      </c>
      <c r="H38" s="11" t="s">
        <v>148</v>
      </c>
      <c r="I38" s="10" t="s">
        <v>149</v>
      </c>
      <c r="J38" s="11" t="s">
        <v>148</v>
      </c>
    </row>
    <row r="39" ht="15.75" customHeight="1">
      <c r="A39" s="7" t="s">
        <v>119</v>
      </c>
      <c r="B39" s="8" t="s">
        <v>51</v>
      </c>
      <c r="C39" s="8" t="s">
        <v>120</v>
      </c>
      <c r="D39" s="12" t="s">
        <v>157</v>
      </c>
      <c r="E39" s="10" t="s">
        <v>146</v>
      </c>
      <c r="F39" s="11" t="s">
        <v>147</v>
      </c>
      <c r="G39" s="6" t="str">
        <f t="shared" si="1"/>
        <v>Alta</v>
      </c>
      <c r="H39" s="11" t="s">
        <v>148</v>
      </c>
      <c r="I39" s="10" t="s">
        <v>149</v>
      </c>
      <c r="J39" s="11" t="s">
        <v>148</v>
      </c>
    </row>
    <row r="40" ht="15.75" customHeight="1">
      <c r="A40" s="7" t="s">
        <v>121</v>
      </c>
      <c r="B40" s="8" t="s">
        <v>51</v>
      </c>
      <c r="C40" s="8" t="s">
        <v>122</v>
      </c>
      <c r="D40" s="12" t="s">
        <v>158</v>
      </c>
      <c r="E40" s="10" t="s">
        <v>146</v>
      </c>
      <c r="F40" s="11" t="s">
        <v>147</v>
      </c>
      <c r="G40" s="6" t="str">
        <f t="shared" si="1"/>
        <v>Alta</v>
      </c>
      <c r="H40" s="11" t="s">
        <v>148</v>
      </c>
      <c r="I40" s="10" t="s">
        <v>149</v>
      </c>
      <c r="J40" s="11" t="s">
        <v>148</v>
      </c>
    </row>
    <row r="41" ht="15.75" customHeight="1">
      <c r="A41" s="7" t="s">
        <v>123</v>
      </c>
      <c r="B41" s="8" t="s">
        <v>51</v>
      </c>
      <c r="C41" s="8" t="s">
        <v>124</v>
      </c>
      <c r="D41" s="12" t="s">
        <v>159</v>
      </c>
      <c r="E41" s="10" t="s">
        <v>146</v>
      </c>
      <c r="F41" s="11" t="s">
        <v>147</v>
      </c>
      <c r="G41" s="6" t="str">
        <f t="shared" si="1"/>
        <v>Alta</v>
      </c>
      <c r="H41" s="11" t="s">
        <v>148</v>
      </c>
      <c r="I41" s="10" t="s">
        <v>149</v>
      </c>
      <c r="J41" s="11" t="s">
        <v>148</v>
      </c>
    </row>
    <row r="42" ht="15.75" customHeight="1">
      <c r="A42" s="7" t="s">
        <v>125</v>
      </c>
      <c r="B42" s="8" t="s">
        <v>51</v>
      </c>
      <c r="C42" s="8" t="s">
        <v>126</v>
      </c>
      <c r="D42" s="12" t="s">
        <v>160</v>
      </c>
      <c r="E42" s="10" t="s">
        <v>146</v>
      </c>
      <c r="F42" s="11" t="s">
        <v>147</v>
      </c>
      <c r="G42" s="6" t="str">
        <f t="shared" si="1"/>
        <v>Alta</v>
      </c>
      <c r="H42" s="11" t="s">
        <v>148</v>
      </c>
      <c r="I42" s="10" t="s">
        <v>149</v>
      </c>
      <c r="J42" s="11" t="s">
        <v>148</v>
      </c>
    </row>
    <row r="43" ht="15.75" customHeight="1">
      <c r="A43" s="7" t="s">
        <v>127</v>
      </c>
      <c r="B43" s="8" t="s">
        <v>51</v>
      </c>
      <c r="C43" s="8" t="s">
        <v>128</v>
      </c>
      <c r="D43" s="12" t="s">
        <v>161</v>
      </c>
      <c r="E43" s="10" t="s">
        <v>146</v>
      </c>
      <c r="F43" s="11" t="s">
        <v>147</v>
      </c>
      <c r="G43" s="6" t="str">
        <f t="shared" si="1"/>
        <v>Alta</v>
      </c>
      <c r="H43" s="11" t="s">
        <v>148</v>
      </c>
      <c r="I43" s="10" t="s">
        <v>149</v>
      </c>
      <c r="J43" s="11" t="s">
        <v>148</v>
      </c>
    </row>
    <row r="44" ht="15.75" customHeight="1">
      <c r="A44" s="7" t="s">
        <v>129</v>
      </c>
      <c r="B44" s="8" t="s">
        <v>51</v>
      </c>
      <c r="C44" s="8" t="s">
        <v>130</v>
      </c>
      <c r="D44" s="14" t="s">
        <v>162</v>
      </c>
      <c r="E44" s="10" t="s">
        <v>146</v>
      </c>
      <c r="F44" s="11" t="s">
        <v>147</v>
      </c>
      <c r="G44" s="6" t="str">
        <f t="shared" si="1"/>
        <v>Alta</v>
      </c>
      <c r="H44" s="11" t="s">
        <v>148</v>
      </c>
      <c r="I44" s="10" t="s">
        <v>149</v>
      </c>
      <c r="J44" s="11" t="s">
        <v>148</v>
      </c>
    </row>
    <row r="45" ht="15.75" customHeight="1">
      <c r="A45" s="7" t="s">
        <v>131</v>
      </c>
      <c r="B45" s="8" t="s">
        <v>133</v>
      </c>
      <c r="C45" s="8" t="s">
        <v>132</v>
      </c>
      <c r="D45" s="9" t="s">
        <v>131</v>
      </c>
      <c r="E45" s="10" t="s">
        <v>146</v>
      </c>
      <c r="F45" s="11" t="s">
        <v>147</v>
      </c>
      <c r="G45" s="6" t="str">
        <f t="shared" si="1"/>
        <v>Baja</v>
      </c>
      <c r="H45" s="11" t="s">
        <v>148</v>
      </c>
      <c r="I45" s="10" t="s">
        <v>149</v>
      </c>
      <c r="J45" s="11" t="s">
        <v>148</v>
      </c>
    </row>
    <row r="46" ht="15.75" customHeight="1">
      <c r="A46" s="7" t="s">
        <v>135</v>
      </c>
      <c r="B46" s="8" t="s">
        <v>24</v>
      </c>
      <c r="C46" s="8" t="s">
        <v>136</v>
      </c>
      <c r="D46" s="14" t="s">
        <v>152</v>
      </c>
      <c r="E46" s="10" t="s">
        <v>150</v>
      </c>
      <c r="F46" s="11" t="s">
        <v>147</v>
      </c>
      <c r="G46" s="6" t="str">
        <f t="shared" si="1"/>
        <v>Media</v>
      </c>
      <c r="H46" s="11" t="s">
        <v>148</v>
      </c>
      <c r="I46" s="10" t="s">
        <v>149</v>
      </c>
      <c r="J46" s="11" t="s">
        <v>148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F2:F46">
      <formula1>"301,302,404,410,Pendiente"</formula1>
    </dataValidation>
    <dataValidation type="list" allowBlank="1" sqref="H2:H46">
      <formula1>"SEO,Contenido,Producto,Tecnología"</formula1>
    </dataValidation>
    <dataValidation type="list" allowBlank="1" sqref="I2:I46">
      <formula1>"Pendiente,Listo,Validado"</formula1>
    </dataValidation>
    <dataValidation type="list" allowBlank="1" sqref="E2:E46">
      <formula1>"Exacta,Cercana,Categoría,No redirigir"</formula1>
    </dataValidation>
  </dataValidations>
  <hyperlinks>
    <hyperlink r:id="rId2" ref="D8"/>
    <hyperlink r:id="rId3" ref="D26"/>
    <hyperlink r:id="rId4" ref="D27"/>
    <hyperlink r:id="rId5" ref="D28"/>
    <hyperlink r:id="rId6" ref="A35"/>
    <hyperlink r:id="rId7" ref="D35"/>
    <hyperlink r:id="rId8" ref="A36"/>
    <hyperlink r:id="rId9" ref="D36"/>
    <hyperlink r:id="rId10" ref="D37"/>
    <hyperlink r:id="rId11" ref="A38"/>
    <hyperlink r:id="rId12" ref="D38"/>
    <hyperlink r:id="rId13" ref="D39"/>
    <hyperlink r:id="rId14" ref="D40"/>
    <hyperlink r:id="rId15" ref="D41"/>
    <hyperlink r:id="rId16" ref="D42"/>
    <hyperlink r:id="rId17" ref="D43"/>
  </hyperlinks>
  <printOptions/>
  <pageMargins bottom="0.75" footer="0.0" header="0.0" left="0.7" right="0.7" top="0.75"/>
  <pageSetup orientation="landscape"/>
  <drawing r:id="rId18"/>
  <legacyDrawing r:id="rId19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2" width="55.0"/>
    <col customWidth="1" min="3" max="3" width="18.0"/>
    <col customWidth="1" min="4" max="4" width="21.29"/>
    <col customWidth="1" min="5" max="5" width="18.0"/>
    <col customWidth="1" min="6" max="6" width="12.0"/>
    <col customWidth="1" min="7" max="7" width="34.0"/>
    <col customWidth="1" min="8" max="8" width="32.0"/>
    <col customWidth="1" min="9" max="26" width="8.71"/>
  </cols>
  <sheetData>
    <row r="1">
      <c r="A1" s="2" t="s">
        <v>163</v>
      </c>
      <c r="B1" s="2" t="s">
        <v>164</v>
      </c>
      <c r="C1" s="2" t="s">
        <v>165</v>
      </c>
      <c r="D1" s="2" t="s">
        <v>141</v>
      </c>
      <c r="E1" s="2" t="s">
        <v>28</v>
      </c>
      <c r="F1" s="2" t="s">
        <v>142</v>
      </c>
      <c r="G1" s="2" t="s">
        <v>166</v>
      </c>
      <c r="H1" s="2" t="s">
        <v>31</v>
      </c>
    </row>
    <row r="2">
      <c r="A2" s="15" t="s">
        <v>167</v>
      </c>
      <c r="B2" s="15" t="s">
        <v>40</v>
      </c>
      <c r="C2" s="16" t="s">
        <v>168</v>
      </c>
      <c r="D2" s="11" t="s">
        <v>169</v>
      </c>
      <c r="E2" s="16" t="s">
        <v>170</v>
      </c>
      <c r="F2" s="16" t="s">
        <v>171</v>
      </c>
      <c r="G2" s="16" t="s">
        <v>172</v>
      </c>
      <c r="H2" s="15" t="s">
        <v>40</v>
      </c>
    </row>
    <row r="3">
      <c r="A3" s="15" t="s">
        <v>173</v>
      </c>
      <c r="B3" s="15" t="s">
        <v>98</v>
      </c>
      <c r="C3" s="16" t="s">
        <v>168</v>
      </c>
      <c r="D3" s="11" t="s">
        <v>169</v>
      </c>
      <c r="E3" s="16" t="s">
        <v>100</v>
      </c>
      <c r="F3" s="16" t="s">
        <v>171</v>
      </c>
      <c r="G3" s="16" t="s">
        <v>174</v>
      </c>
      <c r="H3" s="15" t="s">
        <v>98</v>
      </c>
    </row>
    <row r="4">
      <c r="A4" s="15" t="s">
        <v>175</v>
      </c>
      <c r="B4" s="15" t="s">
        <v>101</v>
      </c>
      <c r="C4" s="16" t="s">
        <v>168</v>
      </c>
      <c r="D4" s="11" t="s">
        <v>169</v>
      </c>
      <c r="E4" s="16" t="s">
        <v>100</v>
      </c>
      <c r="F4" s="16" t="s">
        <v>171</v>
      </c>
      <c r="G4" s="16" t="s">
        <v>174</v>
      </c>
      <c r="H4" s="15" t="s">
        <v>101</v>
      </c>
    </row>
    <row r="5">
      <c r="A5" s="15" t="s">
        <v>176</v>
      </c>
      <c r="B5" s="15" t="s">
        <v>105</v>
      </c>
      <c r="C5" s="16" t="s">
        <v>168</v>
      </c>
      <c r="D5" s="11" t="s">
        <v>169</v>
      </c>
      <c r="E5" s="16" t="s">
        <v>100</v>
      </c>
      <c r="F5" s="16" t="s">
        <v>171</v>
      </c>
      <c r="G5" s="16" t="s">
        <v>174</v>
      </c>
      <c r="H5" s="15" t="s">
        <v>105</v>
      </c>
    </row>
    <row r="6">
      <c r="A6" s="15" t="s">
        <v>177</v>
      </c>
      <c r="B6" s="15" t="s">
        <v>107</v>
      </c>
      <c r="C6" s="16" t="s">
        <v>168</v>
      </c>
      <c r="D6" s="11" t="s">
        <v>169</v>
      </c>
      <c r="E6" s="16" t="s">
        <v>100</v>
      </c>
      <c r="F6" s="16" t="s">
        <v>171</v>
      </c>
      <c r="G6" s="16" t="s">
        <v>174</v>
      </c>
      <c r="H6" s="15" t="s">
        <v>107</v>
      </c>
    </row>
    <row r="7">
      <c r="A7" s="15" t="s">
        <v>178</v>
      </c>
      <c r="B7" s="15" t="s">
        <v>109</v>
      </c>
      <c r="C7" s="16" t="s">
        <v>168</v>
      </c>
      <c r="D7" s="11" t="s">
        <v>169</v>
      </c>
      <c r="E7" s="16" t="s">
        <v>100</v>
      </c>
      <c r="F7" s="16" t="s">
        <v>171</v>
      </c>
      <c r="G7" s="16" t="s">
        <v>174</v>
      </c>
      <c r="H7" s="15" t="s">
        <v>109</v>
      </c>
    </row>
    <row r="8">
      <c r="A8" s="15" t="s">
        <v>179</v>
      </c>
      <c r="B8" s="15" t="s">
        <v>79</v>
      </c>
      <c r="C8" s="16" t="s">
        <v>168</v>
      </c>
      <c r="D8" s="11" t="s">
        <v>169</v>
      </c>
      <c r="E8" s="16" t="s">
        <v>64</v>
      </c>
      <c r="F8" s="16" t="s">
        <v>171</v>
      </c>
      <c r="G8" s="16" t="s">
        <v>180</v>
      </c>
      <c r="H8" s="15" t="s">
        <v>79</v>
      </c>
    </row>
    <row r="9">
      <c r="A9" s="15" t="s">
        <v>181</v>
      </c>
      <c r="B9" s="15" t="s">
        <v>37</v>
      </c>
      <c r="C9" s="16" t="s">
        <v>168</v>
      </c>
      <c r="D9" s="11" t="s">
        <v>169</v>
      </c>
      <c r="E9" s="16" t="s">
        <v>64</v>
      </c>
      <c r="F9" s="16" t="s">
        <v>171</v>
      </c>
      <c r="G9" s="16" t="s">
        <v>182</v>
      </c>
      <c r="H9" s="15" t="s">
        <v>32</v>
      </c>
    </row>
    <row r="10">
      <c r="A10" s="15" t="s">
        <v>183</v>
      </c>
      <c r="B10" s="15" t="s">
        <v>135</v>
      </c>
      <c r="C10" s="16" t="s">
        <v>168</v>
      </c>
      <c r="D10" s="11" t="s">
        <v>169</v>
      </c>
      <c r="E10" s="16" t="s">
        <v>24</v>
      </c>
      <c r="F10" s="16" t="s">
        <v>184</v>
      </c>
      <c r="G10" s="16" t="s">
        <v>185</v>
      </c>
      <c r="H10" s="15" t="s">
        <v>135</v>
      </c>
    </row>
    <row r="11">
      <c r="A11" s="15" t="s">
        <v>186</v>
      </c>
      <c r="B11" s="15" t="s">
        <v>131</v>
      </c>
      <c r="C11" s="16" t="s">
        <v>168</v>
      </c>
      <c r="D11" s="11" t="s">
        <v>169</v>
      </c>
      <c r="E11" s="16" t="s">
        <v>133</v>
      </c>
      <c r="F11" s="16" t="s">
        <v>187</v>
      </c>
      <c r="G11" s="16" t="s">
        <v>188</v>
      </c>
      <c r="H11" s="15" t="s">
        <v>131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D2:D11">
      <formula1>"301,302,404,410,Pendiente"</formula1>
    </dataValidation>
  </dataValidations>
  <printOptions/>
  <pageMargins bottom="0.75" footer="0.0" header="0.0" left="0.7" right="0.7" top="0.75"/>
  <pageSetup orientation="landscape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12.0"/>
    <col customWidth="1" min="2" max="2" width="24.0"/>
    <col customWidth="1" min="3" max="3" width="16.0"/>
    <col customWidth="1" min="4" max="4" width="55.0"/>
    <col customWidth="1" min="5" max="5" width="60.0"/>
    <col customWidth="1" min="6" max="6" width="36.0"/>
    <col customWidth="1" min="7" max="26" width="8.71"/>
  </cols>
  <sheetData>
    <row r="1">
      <c r="A1" s="2" t="s">
        <v>142</v>
      </c>
      <c r="B1" s="2" t="s">
        <v>189</v>
      </c>
      <c r="C1" s="2" t="s">
        <v>190</v>
      </c>
      <c r="D1" s="2" t="s">
        <v>191</v>
      </c>
      <c r="E1" s="2" t="s">
        <v>192</v>
      </c>
      <c r="F1" s="2" t="s">
        <v>193</v>
      </c>
    </row>
    <row r="2">
      <c r="A2" s="17" t="s">
        <v>171</v>
      </c>
      <c r="B2" s="17" t="s">
        <v>194</v>
      </c>
      <c r="C2" s="17" t="s">
        <v>36</v>
      </c>
      <c r="D2" s="18" t="s">
        <v>181</v>
      </c>
      <c r="E2" s="17" t="s">
        <v>195</v>
      </c>
      <c r="F2" s="17" t="s">
        <v>196</v>
      </c>
    </row>
    <row r="3">
      <c r="A3" s="17" t="s">
        <v>171</v>
      </c>
      <c r="B3" s="17" t="s">
        <v>197</v>
      </c>
      <c r="C3" s="17" t="s">
        <v>19</v>
      </c>
      <c r="D3" s="18" t="s">
        <v>103</v>
      </c>
      <c r="E3" s="17" t="s">
        <v>198</v>
      </c>
      <c r="F3" s="17" t="s">
        <v>199</v>
      </c>
    </row>
    <row r="4">
      <c r="A4" s="16" t="s">
        <v>184</v>
      </c>
      <c r="B4" s="16" t="s">
        <v>200</v>
      </c>
      <c r="C4" s="16" t="s">
        <v>55</v>
      </c>
      <c r="D4" s="15" t="s">
        <v>201</v>
      </c>
      <c r="E4" s="16" t="s">
        <v>202</v>
      </c>
      <c r="F4" s="16" t="s">
        <v>203</v>
      </c>
    </row>
    <row r="5">
      <c r="A5" s="16" t="s">
        <v>184</v>
      </c>
      <c r="B5" s="16" t="s">
        <v>204</v>
      </c>
      <c r="C5" s="16" t="s">
        <v>18</v>
      </c>
      <c r="D5" s="15" t="s">
        <v>85</v>
      </c>
      <c r="E5" s="16" t="s">
        <v>205</v>
      </c>
      <c r="F5" s="16" t="s">
        <v>206</v>
      </c>
    </row>
    <row r="6">
      <c r="A6" s="16" t="s">
        <v>184</v>
      </c>
      <c r="B6" s="16" t="s">
        <v>207</v>
      </c>
      <c r="C6" s="16" t="s">
        <v>24</v>
      </c>
      <c r="D6" s="15" t="s">
        <v>91</v>
      </c>
      <c r="E6" s="16" t="s">
        <v>208</v>
      </c>
      <c r="F6" s="16" t="s">
        <v>209</v>
      </c>
    </row>
    <row r="7">
      <c r="A7" s="19" t="s">
        <v>187</v>
      </c>
      <c r="B7" s="19" t="s">
        <v>210</v>
      </c>
      <c r="C7" s="19" t="s">
        <v>133</v>
      </c>
      <c r="D7" s="20" t="s">
        <v>186</v>
      </c>
      <c r="E7" s="19" t="s">
        <v>211</v>
      </c>
      <c r="F7" s="19" t="s">
        <v>212</v>
      </c>
    </row>
    <row r="8">
      <c r="A8" s="16" t="s">
        <v>184</v>
      </c>
      <c r="B8" s="16" t="s">
        <v>213</v>
      </c>
      <c r="C8" s="16" t="s">
        <v>24</v>
      </c>
      <c r="D8" s="15" t="s">
        <v>183</v>
      </c>
      <c r="E8" s="16" t="s">
        <v>214</v>
      </c>
      <c r="F8" s="16" t="s">
        <v>215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